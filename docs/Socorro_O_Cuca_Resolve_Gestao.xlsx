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9dba070e5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1a95f88644f94fe5"/>
    <x:sheet xmlns:r="http://schemas.openxmlformats.org/officeDocument/2006/relationships" name="CRM_Leads" sheetId="2" r:id="Ra63372d2462f4969"/>
    <x:sheet xmlns:r="http://schemas.openxmlformats.org/officeDocument/2006/relationships" name="Atendimentos" sheetId="3" r:id="R11f5169c216340a7"/>
    <x:sheet xmlns:r="http://schemas.openxmlformats.org/officeDocument/2006/relationships" name="Precificacao" sheetId="4" r:id="R4e0514b1eac94a65"/>
    <x:sheet xmlns:r="http://schemas.openxmlformats.org/officeDocument/2006/relationships" name="Conteudo_30D" sheetId="5" r:id="R0515d62ac6504004"/>
    <x:sheet xmlns:r="http://schemas.openxmlformats.org/officeDocument/2006/relationships" name="Parceiros_B2B" sheetId="6" r:id="Re0ececdbc1f74776"/>
    <x:sheet xmlns:r="http://schemas.openxmlformats.org/officeDocument/2006/relationships" name="Plano_90D" sheetId="7" r:id="Ra6ccdb7b1d304026"/>
    <x:sheet xmlns:r="http://schemas.openxmlformats.org/officeDocument/2006/relationships" name="Dashboard" sheetId="8" r:id="R01f5f4badf334c6d"/>
    <x:sheet xmlns:r="http://schemas.openxmlformats.org/officeDocument/2006/relationships" name="Identidade" sheetId="9" r:id="R43308ac1aa56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"/>
    <x:numFmt numFmtId="201" formatCode="0%"/>
    <x:numFmt numFmtId="202" formatCode="0"/>
    <x:numFmt numFmtId="203" formatCode="dd/mm/yyyy"/>
    <x:numFmt numFmtId="204" formatCode="0.0%"/>
  </x:numFmts>
  <x:fonts count="13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5"/>
      <x:color rgb="FF102A43"/>
      <x:name val="Carlito"/>
    </x:font>
    <x:font>
      <x:b/>
      <x:sz val="16"/>
      <x:color rgb="FF102A43"/>
      <x:name val="Aptos"/>
    </x:font>
    <x:font>
      <x:sz val="11"/>
      <x:color rgb="FF102A43"/>
      <x:name val="Aptos"/>
    </x:font>
    <x:font>
      <x:b/>
      <x:sz val="11"/>
      <x:color rgb="FF102A43"/>
      <x:name val="Aptos"/>
    </x:font>
    <x:font>
      <x:b/>
      <x:sz val="15"/>
      <x:color rgb="FF102A43"/>
      <x:name val="Aptos"/>
    </x:font>
    <x:font>
      <x:b/>
      <x:sz val="11"/>
      <x:color rgb="FF0A2E52"/>
      <x:name val="Carlito"/>
    </x:font>
    <x:font>
      <x:b/>
      <x:sz val="14"/>
      <x:color rgb="FFFFFFFF"/>
      <x:name val="Carlito"/>
    </x:font>
    <x:font>
      <x:b/>
      <x:sz val="15"/>
      <x:color rgb="FFFFFFFF"/>
      <x:name val="Aptos"/>
    </x:font>
    <x:font>
      <x:b/>
      <x:sz val="11"/>
      <x:color rgb="FF0A2E52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B2D4F"/>
      </x:patternFill>
    </x:fill>
    <x:fill>
      <x:patternFill patternType="solid">
        <x:fgColor rgb="FFF57C00"/>
      </x:patternFill>
    </x:fill>
    <x:fill>
      <x:patternFill patternType="solid">
        <x:fgColor rgb="FFF3F7FA"/>
      </x:patternFill>
    </x:fill>
    <x:fill>
      <x:patternFill patternType="solid">
        <x:fgColor rgb="FFF57C00"/>
      </x:patternFill>
    </x:fill>
    <x:fill>
      <x:patternFill patternType="solid">
        <x:fgColor rgb="FFF3F7FA"/>
      </x:patternFill>
    </x:fill>
    <x:fill>
      <x:patternFill patternType="solid">
        <x:fgColor rgb="FFF8FAFC"/>
      </x:patternFill>
    </x:fill>
    <x:fill>
      <x:patternFill patternType="solid">
        <x:fgColor rgb="FF0A2E52"/>
      </x:patternFill>
    </x:fill>
    <x:fill>
      <x:patternFill patternType="solid">
        <x:fgColor rgb="FFFF7900"/>
      </x:patternFill>
    </x:fill>
    <x:fill>
      <x:patternFill patternType="solid">
        <x:fgColor rgb="FFEEF3F7"/>
      </x:patternFill>
    </x:fill>
  </x:fills>
  <x:borders count="2">
    <x:border/>
    <x:border/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4" fontId="0" fillId="4" borderId="0" xfId="0" applyNumberFormat="1" applyFont="1" applyFill="1" applyBorder="1"/>
    <x:xf numFmtId="204" fontId="4" fillId="4" borderId="0" xfId="0" applyNumberFormat="1" applyFont="1" applyFill="1" applyBorder="1"/>
    <x:xf numFmtId="204" fontId="4" fillId="4" borderId="0" xfId="0" applyNumberFormat="1" applyFont="1" applyFill="1" applyBorder="1" applyAlignment="1">
      <x:alignment horizontal="center"/>
    </x:xf>
    <x:xf numFmtId="204" fontId="4" fillId="4" borderId="0" xfId="0" applyNumberFormat="1" applyFont="1" applyFill="1" applyBorder="1" applyAlignment="1">
      <x:alignment horizontal="center" vertical="center"/>
    </x:xf>
    <x:xf numFmtId="204" fontId="0" fillId="4" borderId="1" xfId="0" applyNumberFormat="1" applyFont="1" applyFill="1" applyBorder="1"/>
    <x:xf numFmtId="204" fontId="4" fillId="4" borderId="1" xfId="0" applyNumberFormat="1" applyFont="1" applyFill="1" applyBorder="1"/>
    <x:xf numFmtId="204" fontId="4" fillId="4" borderId="1" xfId="0" applyNumberFormat="1" applyFont="1" applyFill="1" applyBorder="1" applyAlignment="1">
      <x:alignment horizontal="center"/>
    </x:xf>
    <x:xf numFmtId="204" fontId="4" fillId="4" borderId="1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204" fontId="8" fillId="4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/>
    </x:xf>
    <x:xf numFmtId="200" fontId="8" fillId="4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204" fontId="8" fillId="4" borderId="1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/>
    </x:xf>
    <x:xf numFmtId="200" fontId="8" fillId="4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/>
    <x:xf numFmtId="0" fontId="7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 wrapText="1"/>
    </x:xf>
    <x:xf numFmtId="0" fontId="3" fillId="9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 vertical="center"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 wrapText="1"/>
    </x:xf>
    <x:xf numFmtId="0" fontId="6" fillId="9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 vertical="center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203" fontId="6" fillId="9" borderId="0" xfId="0" applyNumberFormat="1" applyFont="1" applyFill="1" applyBorder="1" applyAlignment="1">
      <x:alignment wrapText="1"/>
    </x:xf>
    <x:xf numFmtId="203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left"/>
    </x:xf>
    <x:xf numFmtId="0" fontId="6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color rgb="FF1B5E20"/>
      </x:font>
      <x:fill>
        <x:patternFill>
          <x:bgColor rgb="FFDFF3E4"/>
        </x:patternFill>
      </x:fill>
    </x:dxf>
    <x:dxf>
      <x:font>
        <x:color rgb="FFC62828"/>
      </x:font>
      <x:fill>
        <x:patternFill>
          <x:bgColor rgb="FFFDE5E5"/>
        </x:patternFill>
      </x:fill>
    </x:dxf>
    <x:dxf>
      <x:fill>
        <x:patternFill>
          <x:bgColor rgb="FFFFF2CC"/>
        </x:patternFill>
      </x:fill>
    </x:dxf>
    <x:dxf>
      <x:font>
        <x:color rgb="FF1B5E20"/>
      </x:font>
      <x:fill>
        <x:patternFill>
          <x:bgColor rgb="FFDFF3E4"/>
        </x:patternFill>
      </x:fill>
    </x:dxf>
    <x:dxf>
      <x:font>
        <x:color rgb="FF1B5E20"/>
      </x:font>
      <x:fill>
        <x:patternFill>
          <x:bgColor rgb="FFDFF3E4"/>
        </x:patternFill>
      </x:fill>
    </x:dxf>
    <x:dxf>
      <x:fill>
        <x:patternFill>
          <x:bgColor rgb="FFFFF2CC"/>
        </x:patternFill>
      </x:fill>
    </x:dxf>
    <x:dxf>
      <x:font>
        <x:color rgb="FF1B5E20"/>
      </x:font>
      <x:fill>
        <x:patternFill>
          <x:bgColor rgb="FFDFF3E4"/>
        </x:patternFill>
      </x:fill>
    </x:dxf>
    <x:dxf>
      <x:font>
        <x:color rgb="FFC62828"/>
      </x:font>
      <x:fill>
        <x:patternFill>
          <x:bgColor rgb="FFFDE5E5"/>
        </x:patternFill>
      </x:fill>
    </x:dxf>
    <x:dxf>
      <x:font>
        <x:color rgb="FF1B5E20"/>
      </x:font>
      <x:fill>
        <x:patternFill patternType="solid">
          <x:bgColor rgb="FFDFF3E4"/>
        </x:patternFill>
      </x:fill>
    </x:dxf>
    <x:dxf>
      <x:font>
        <x:color rgb="FFB42318"/>
      </x:font>
      <x:fill>
        <x:patternFill patternType="solid">
          <x:bgColor rgb="FFFDE5E5"/>
        </x:patternFill>
      </x:fill>
    </x:dxf>
    <x:dxf>
      <x:font>
        <x:color rgb="FFFF7900"/>
      </x:font>
      <x:fill>
        <x:patternFill patternType="solid">
          <x:bgColor rgb="FFFFF1D6"/>
        </x:patternFill>
      </x:fill>
    </x:dxf>
    <x:dxf>
      <x:font>
        <x:color rgb="FF1B5E20"/>
      </x:font>
      <x:fill>
        <x:patternFill patternType="solid">
          <x:bgColor rgb="FFDFF3E4"/>
        </x:patternFill>
      </x:fill>
    </x:dxf>
    <x:dxf>
      <x:font>
        <x:color rgb="FFB42318"/>
      </x:font>
      <x:fill>
        <x:patternFill patternType="solid">
          <x:bgColor rgb="FFFDE5E5"/>
        </x:patternFill>
      </x:fill>
    </x:dxf>
    <x:dxf>
      <x:font>
        <x:color rgb="FFFF79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3ba6d57464743" /><Relationship Type="http://schemas.openxmlformats.org/officeDocument/2006/relationships/theme" Target="/xl/theme/theme1.xml" Id="R58d41a365219474b" /><Relationship Type="http://schemas.openxmlformats.org/officeDocument/2006/relationships/sharedStrings" Target="/xl/sharedStrings.xml" Id="Rf953f0dd2df14f54" /><Relationship Type="http://schemas.openxmlformats.org/officeDocument/2006/relationships/worksheet" Target="/xl/worksheets/sheet1.xml" Id="R1a95f88644f94fe5" /><Relationship Type="http://schemas.openxmlformats.org/officeDocument/2006/relationships/worksheet" Target="/xl/worksheets/sheet2.xml" Id="Ra63372d2462f4969" /><Relationship Type="http://schemas.openxmlformats.org/officeDocument/2006/relationships/worksheet" Target="/xl/worksheets/sheet3.xml" Id="R11f5169c216340a7" /><Relationship Type="http://schemas.openxmlformats.org/officeDocument/2006/relationships/worksheet" Target="/xl/worksheets/sheet4.xml" Id="R4e0514b1eac94a65" /><Relationship Type="http://schemas.openxmlformats.org/officeDocument/2006/relationships/worksheet" Target="/xl/worksheets/sheet5.xml" Id="R0515d62ac6504004" /><Relationship Type="http://schemas.openxmlformats.org/officeDocument/2006/relationships/worksheet" Target="/xl/worksheets/sheet6.xml" Id="Re0ececdbc1f74776" /><Relationship Type="http://schemas.openxmlformats.org/officeDocument/2006/relationships/worksheet" Target="/xl/worksheets/sheet7.xml" Id="Ra6ccdb7b1d304026" /><Relationship Type="http://schemas.openxmlformats.org/officeDocument/2006/relationships/worksheet" Target="/xl/worksheets/sheet8.xml" Id="R01f5f4badf334c6d" /><Relationship Type="http://schemas.openxmlformats.org/officeDocument/2006/relationships/worksheet" Target="/xl/worksheets/sheet9.xml" Id="R43308ac1aa5645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5c098c06f3d4c54" /><Relationship Type="http://schemas.openxmlformats.org/officeDocument/2006/relationships/chart" Target="/xl/drawings/charts/chart1.xml" Id="R3c15fe28675245e8" /><Relationship Type="http://schemas.openxmlformats.org/officeDocument/2006/relationships/chart" Target="/xl/drawings/charts/chart2.xml" Id="R5a192309711f455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f61d19a8bca40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por origem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Qtd.</c:v>
          </c:tx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Faturamento por categoria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Faturamento</c:v>
          </c:tx>
          <c:cat>
            <c:strRef>
              <c:f>'Dashboard'!$D$11:$D$15</c:f>
              <c:strCache>
                <c:ptCount val="0"/>
              </c:strCache>
            </c:strRef>
          </c:cat>
          <c:val>
            <c:numRef>
              <c:f>'Dashboard'!$E$11:$E$15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5fe28675245e8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192309711f455d"/>
        </a:graphicData>
      </a:graphic>
    </xdr:graphicFrame>
    <xdr:clientData/>
  </xdr:twoCellAnchor>
  <xdr:oneCellAnchor>
    <xdr:from>
      <xdr:col>8</xdr:col>
      <xdr:colOff>0</xdr:colOff>
      <xdr:row>0</xdr:row>
      <xdr:rowOff>0</xdr:rowOff>
    </xdr:from>
    <xdr:ext cx="1381125" cy="1047750"/>
    <xdr:pic>
      <xdr:nvPicPr>
        <xdr:cNvPr id="3" name="8e58df89-2b3f-46ef-90a3-1e5c04e1a9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098c06f3d4c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6</xdr:col>
      <xdr:colOff>0</xdr:colOff>
      <xdr:row>2</xdr:row>
      <xdr:rowOff>0</xdr:rowOff>
    </xdr:from>
    <xdr:ext cx="2000250" cy="1571625"/>
    <xdr:pic>
      <xdr:nvPicPr>
        <xdr:cNvPr id="1" name="f43c590f-66a8-4234-bf7d-a4a1c2e5c8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1d19a8bca40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RMLeadsTable" displayName="CRMLeadsTable" ref="A3:Q303" headerRowCount="1" totalsRowCount="0" totalsRowShown="0">
  <x:tableColumns count="17">
    <x:tableColumn id="1" name="Data entrada"/>
    <x:tableColumn id="2" name="Nome"/>
    <x:tableColumn id="3" name="WhatsApp"/>
    <x:tableColumn id="4" name="Cidade/Bairro"/>
    <x:tableColumn id="5" name="Origem"/>
    <x:tableColumn id="6" name="Categoria"/>
    <x:tableColumn id="7" name="Problema"/>
    <x:tableColumn id="8" name="Foto/Vídeo?"/>
    <x:tableColumn id="9" name="Orçamento enviado?"/>
    <x:tableColumn id="10" name="Valor orçamento"/>
    <x:tableColumn id="11" name="Status"/>
    <x:tableColumn id="12" name="Próximo follow-up"/>
    <x:tableColumn id="13" name="Data agendada"/>
    <x:tableColumn id="14" name="Data conclusão"/>
    <x:tableColumn id="15" name="Avaliação Google?"/>
    <x:tableColumn id="16" name="Indicação?"/>
    <x:tableColumn id="17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endimentosTable" displayName="AtendimentosTable" ref="A3:P303" headerRowCount="1" totalsRowCount="0" totalsRowShown="0">
  <x:tableColumns count="16">
    <x:tableColumn id="1" name="Data"/>
    <x:tableColumn id="2" name="Cliente"/>
    <x:tableColumn id="3" name="Categoria"/>
    <x:tableColumn id="4" name="Serviço"/>
    <x:tableColumn id="5" name="Mão de obra"/>
    <x:tableColumn id="6" name="Materiais cobrados"/>
    <x:tableColumn id="7" name="Deslocamento cobrado"/>
    <x:tableColumn id="8" name="Receita total"/>
    <x:tableColumn id="9" name="Custo material"/>
    <x:tableColumn id="10" name="Km rodados"/>
    <x:tableColumn id="11" name="Custo deslocamento"/>
    <x:tableColumn id="12" name="Lucro bruto"/>
    <x:tableColumn id="13" name="Forma pagamento"/>
    <x:tableColumn id="14" name="Pago?"/>
    <x:tableColumn id="15" name="Origem lead"/>
    <x:tableColumn id="16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cificacaoTable" displayName="PrecificacaoTable" ref="A3:H23" headerRowCount="1" totalsRowCount="0" totalsRowShown="0">
  <x:tableColumns count="8">
    <x:tableColumn id="1" name="Categoria"/>
    <x:tableColumn id="2" name="Serviço"/>
    <x:tableColumn id="3" name="Tempo estimado (h)"/>
    <x:tableColumn id="4" name="Fator complexidade"/>
    <x:tableColumn id="5" name="Base calculada"/>
    <x:tableColumn id="6" name="Faixa mínima teste"/>
    <x:tableColumn id="7" name="Faixa máxima teste"/>
    <x:tableColumn id="8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udo30Table" displayName="Conteudo30Table" ref="A3:I33" headerRowCount="1" totalsRowCount="0" totalsRowShown="0">
  <x:tableColumns count="9">
    <x:tableColumn id="1" name="Dia"/>
    <x:tableColumn id="2" name="Data"/>
    <x:tableColumn id="3" name="Pilar"/>
    <x:tableColumn id="4" name="Formato"/>
    <x:tableColumn id="5" name="Gancho/Tema"/>
    <x:tableColumn id="6" name="Legenda base"/>
    <x:tableColumn id="7" name="CTA"/>
    <x:tableColumn id="8" name="Status peça"/>
    <x:tableColumn id="9" name="Publicado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ceirosTable" displayName="ParceirosTable" ref="A3:K203" headerRowCount="1" totalsRowCount="0" totalsRowShown="0">
  <x:tableColumns count="11">
    <x:tableColumn id="1" name="Empresa"/>
    <x:tableColumn id="2" name="Tipo"/>
    <x:tableColumn id="3" name="Contato"/>
    <x:tableColumn id="4" name="WhatsApp"/>
    <x:tableColumn id="5" name="Cidade"/>
    <x:tableColumn id="6" name="Data 1º contato"/>
    <x:tableColumn id="7" name="Status"/>
    <x:tableColumn id="8" name="Próxima ação"/>
    <x:tableColumn id="9" name="Data follow-up"/>
    <x:tableColumn id="10" name="Potencial mensal"/>
    <x:tableColumn id="11" name="Observaçõ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o90Table" displayName="Plano90Table" ref="A3:F19" headerRowCount="1" totalsRowCount="0" totalsRowShown="0">
  <x:tableColumns count="6">
    <x:tableColumn id="1" name="Fase"/>
    <x:tableColumn id="2" name="Período"/>
    <x:tableColumn id="3" name="Prioridade"/>
    <x:tableColumn id="4" name="Entrega"/>
    <x:tableColumn id="5" name="Status"/>
    <x:tableColumn id="6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e56f8f0b9f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6b4c6a032746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7f810a8d341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bffc14eff74f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4834e69efd48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f05bba574c47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a835a897344446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16b1a66bad2249c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151" t="str">
        <x:v>SOCORRO! O CUCA RESOLVE | Configurações do negócio</x:v>
      </x:c>
      <x:c r="B1" s="151"/>
      <x:c r="C1" s="151"/>
      <x:c r="D1" s="151"/>
      <x:c r="E1" s="151"/>
      <x:c r="F1" s="151"/>
    </x:row>
    <x:row r="2" ht="5" customHeight="1">
      <x:c r="A2" s="154"/>
      <x:c r="B2" s="154"/>
      <x:c r="C2" s="154"/>
      <x:c r="D2" s="154"/>
      <x:c r="E2" s="154"/>
      <x:c r="F2" s="154"/>
    </x:row>
    <x:row r="3" ht="24" customHeight="1">
      <x:c r="A3" s="159" t="str">
        <x:v>Premissa</x:v>
      </x:c>
      <x:c r="B3" s="159" t="str">
        <x:v>Valor</x:v>
      </x:c>
      <x:c r="C3" s="77"/>
      <x:c r="D3" s="161" t="str">
        <x:v>Origem</x:v>
      </x:c>
      <x:c r="E3" s="161" t="str">
        <x:v>Status Lead</x:v>
      </x:c>
      <x:c r="F3" s="161" t="str">
        <x:v>Categoria</x:v>
      </x:c>
    </x:row>
    <x:row r="4">
      <x:c r="A4" s="77" t="str">
        <x:v>Visita técnica urbana</x:v>
      </x:c>
      <x:c r="B4" s="80" t="n">
        <x:v>80</x:v>
      </x:c>
      <x:c r="C4" s="77"/>
      <x:c r="D4" s="77" t="str">
        <x:v>Google</x:v>
      </x:c>
      <x:c r="E4" s="77" t="str">
        <x:v>Novo contato</x:v>
      </x:c>
      <x:c r="F4" s="77" t="str">
        <x:v>Casa</x:v>
      </x:c>
    </x:row>
    <x:row r="5">
      <x:c r="A5" s="77" t="str">
        <x:v>Serviço mínimo</x:v>
      </x:c>
      <x:c r="B5" s="80" t="n">
        <x:v>120</x:v>
      </x:c>
      <x:c r="C5" s="77"/>
      <x:c r="D5" s="77" t="str">
        <x:v>Indicação</x:v>
      </x:c>
      <x:c r="E5" s="77" t="str">
        <x:v>Aguardando foto/vídeo</x:v>
      </x:c>
      <x:c r="F5" s="77" t="str">
        <x:v>Elétrica</x:v>
      </x:c>
    </x:row>
    <x:row r="6">
      <x:c r="A6" s="77" t="str">
        <x:v>Hora técnica de referência</x:v>
      </x:c>
      <x:c r="B6" s="80" t="n">
        <x:v>90</x:v>
      </x:c>
      <x:c r="C6" s="77"/>
      <x:c r="D6" s="77" t="str">
        <x:v>Instagram</x:v>
      </x:c>
      <x:c r="E6" s="77" t="str">
        <x:v>Em avaliação</x:v>
      </x:c>
      <x:c r="F6" s="77" t="str">
        <x:v>Hidráulica</x:v>
      </x:c>
    </x:row>
    <x:row r="7">
      <x:c r="A7" s="77" t="str">
        <x:v>Cobrança por km fora do perímetro</x:v>
      </x:c>
      <x:c r="B7" s="80" t="n">
        <x:v>2.2</x:v>
      </x:c>
      <x:c r="C7" s="77"/>
      <x:c r="D7" s="77" t="str">
        <x:v>Facebook</x:v>
      </x:c>
      <x:c r="E7" s="77" t="str">
        <x:v>Orçamento enviado</x:v>
      </x:c>
      <x:c r="F7" s="77" t="str">
        <x:v>Eletrodomésticos</x:v>
      </x:c>
    </x:row>
    <x:row r="8">
      <x:c r="A8" s="77" t="str">
        <x:v>Custo interno estimado por km</x:v>
      </x:c>
      <x:c r="B8" s="80" t="n">
        <x:v>1</x:v>
      </x:c>
      <x:c r="C8" s="77"/>
      <x:c r="D8" s="77" t="str">
        <x:v>WhatsApp</x:v>
      </x:c>
      <x:c r="E8" s="77" t="str">
        <x:v>Follow-up</x:v>
      </x:c>
      <x:c r="F8" s="77" t="str">
        <x:v>Computadores</x:v>
      </x:c>
    </x:row>
    <x:row r="9">
      <x:c r="A9" s="77" t="str">
        <x:v>Markup de materiais</x:v>
      </x:c>
      <x:c r="B9" s="81" t="n">
        <x:v>0.15</x:v>
      </x:c>
      <x:c r="C9" s="77"/>
      <x:c r="D9" s="77" t="str">
        <x:v>Parceiro B2B</x:v>
      </x:c>
      <x:c r="E9" s="77" t="str">
        <x:v>Agendado</x:v>
      </x:c>
      <x:c r="F9" s="77" t="str">
        <x:v>Sim</x:v>
      </x:c>
    </x:row>
    <x:row r="10">
      <x:c r="A10" s="77" t="str">
        <x:v>Adicional fora de horário / urgência</x:v>
      </x:c>
      <x:c r="B10" s="81" t="n">
        <x:v>0.5</x:v>
      </x:c>
      <x:c r="C10" s="77"/>
      <x:c r="D10" s="77" t="str">
        <x:v>Outro</x:v>
      </x:c>
      <x:c r="E10" s="77" t="str">
        <x:v>Aguardando peça</x:v>
      </x:c>
      <x:c r="F10" s="77" t="str">
        <x:v>Não</x:v>
      </x:c>
    </x:row>
    <x:row r="11">
      <x:c r="A11" s="77" t="str">
        <x:v>Validade do orçamento (dias)</x:v>
      </x:c>
      <x:c r="B11" s="82" t="n">
        <x:v>7</x:v>
      </x:c>
      <x:c r="C11" s="77"/>
      <x:c r="D11" s="77" t="str">
        <x:v>Retorno/recorrente</x:v>
      </x:c>
      <x:c r="E11" s="77" t="str">
        <x:v>Concluído</x:v>
      </x:c>
      <x:c r="F11" s="77" t="str">
        <x:v>PIX</x:v>
      </x:c>
    </x:row>
    <x:row r="12">
      <x:c r="A12" s="77" t="str">
        <x:v>Meta de avaliações em 60 dias</x:v>
      </x:c>
      <x:c r="B12" s="82" t="n">
        <x:v>20</x:v>
      </x:c>
      <x:c r="C12" s="77"/>
      <x:c r="D12" s="77" t="str">
        <x:v>Offline/impresso</x:v>
      </x:c>
      <x:c r="E12" s="77" t="str">
        <x:v>Perdido</x:v>
      </x:c>
      <x:c r="F12" s="77" t="str">
        <x:v>Dinheiro</x:v>
      </x:c>
    </x:row>
    <x:row r="13">
      <x:c r="A13" s="77"/>
      <x:c r="B13" s="77"/>
      <x:c r="C13" s="77"/>
      <x:c r="D13" s="77" t="str">
        <x:v>Outro parceiro</x:v>
      </x:c>
      <x:c r="E13" s="77" t="str">
        <x:v>Fora de escopo</x:v>
      </x:c>
      <x:c r="F13" s="77"/>
    </x:row>
    <x:row r="14">
      <x:c r="A14" s="160" t="str">
        <x:v>Data de início do plano</x:v>
      </x:c>
      <x:c r="B14" s="163" t="n">
        <x:v>46272</x:v>
      </x:c>
      <x:c r="C14" s="77"/>
      <x:c r="D14" s="77"/>
      <x:c r="E14" s="77"/>
      <x:c r="F14" s="77"/>
    </x:row>
    <x:row r="15">
      <x:c r="A15" s="120" t="str">
        <x:v>WhatsApp</x:v>
      </x:c>
      <x:c r="B15" s="77" t="str">
        <x:v>(19) 99791-6128</x:v>
      </x:c>
      <x:c r="C15" s="77"/>
      <x:c r="D15" s="120" t="str">
        <x:v>Tipo parceiro</x:v>
      </x:c>
      <x:c r="E15" s="120" t="str">
        <x:v>Status parceiro</x:v>
      </x:c>
      <x:c r="F15" s="120" t="str">
        <x:v>Pagamento</x:v>
      </x:c>
    </x:row>
    <x:row r="16">
      <x:c r="A16" s="77"/>
      <x:c r="B16" s="77"/>
      <x:c r="C16" s="77"/>
      <x:c r="D16" s="77" t="str">
        <x:v>Imobiliária</x:v>
      </x:c>
      <x:c r="E16" s="77" t="str">
        <x:v>Mapear</x:v>
      </x:c>
      <x:c r="F16" s="77" t="str">
        <x:v>PIX</x:v>
      </x:c>
    </x:row>
    <x:row r="17">
      <x:c r="A17" s="168" t="str">
        <x:v>Regra de identidade</x:v>
      </x:c>
      <x:c r="B17" s="77" t="str">
        <x:v>Usar sempre a casinha + ferramenta + lâmpada como símbolo principal.</x:v>
      </x:c>
      <x:c r="C17" s="77"/>
      <x:c r="D17" s="77" t="str">
        <x:v>Pousada</x:v>
      </x:c>
      <x:c r="E17" s="77" t="str">
        <x:v>Primeiro contato</x:v>
      </x:c>
      <x:c r="F17" s="77" t="str">
        <x:v>Dinheiro</x:v>
      </x:c>
    </x:row>
    <x:row r="18">
      <x:c r="A18" s="168" t="str">
        <x:v>Marca pública</x:v>
      </x:c>
      <x:c r="B18" s="77" t="str">
        <x:v>SOCORRO! O CUCA RESOLVE</x:v>
      </x:c>
      <x:c r="C18" s="77"/>
      <x:c r="D18" s="77" t="str">
        <x:v>Airbnb</x:v>
      </x:c>
      <x:c r="E18" s="77" t="str">
        <x:v>Conversando</x:v>
      </x:c>
      <x:c r="F18" s="77" t="str">
        <x:v>Cartão</x:v>
      </x:c>
    </x:row>
    <x:row r="19">
      <x:c r="A19" s="168" t="str">
        <x:v>Assinatura</x:v>
      </x:c>
      <x:c r="B19" s="77" t="str">
        <x:v>Da casa ao computador, o Cuca resolve.</x:v>
      </x:c>
      <x:c r="C19" s="77"/>
      <x:c r="D19" s="77" t="str">
        <x:v>Condomínio</x:v>
      </x:c>
      <x:c r="E19" s="77" t="str">
        <x:v>Reunião</x:v>
      </x:c>
      <x:c r="F19" s="77" t="str">
        <x:v>Transferência</x:v>
      </x:c>
    </x:row>
    <x:row r="20">
      <x:c r="A20" s="168" t="str">
        <x:v>CTA</x:v>
      </x:c>
      <x:c r="B20" s="77" t="str">
        <x:v>Problema apareceu? Chama o Cuca.</x:v>
      </x:c>
      <x:c r="C20" s="77"/>
      <x:c r="D20" s="77" t="str">
        <x:v>Loja</x:v>
      </x:c>
      <x:c r="E20" s="77" t="str">
        <x:v>Teste</x:v>
      </x:c>
      <x:c r="F20" s="77"/>
    </x:row>
    <x:row r="21">
      <x:c r="A21" s="77"/>
      <x:c r="B21" s="77"/>
      <x:c r="C21" s="77"/>
      <x:c r="D21" s="77" t="str">
        <x:v>Comércio</x:v>
      </x:c>
      <x:c r="E21" s="77" t="str">
        <x:v>Ativo</x:v>
      </x:c>
      <x:c r="F21" s="77"/>
    </x:row>
    <x:row r="22">
      <x:c r="A22" s="77"/>
      <x:c r="B22" s="77"/>
      <x:c r="C22" s="77"/>
      <x:c r="D22" s="77" t="str">
        <x:v>Outro</x:v>
      </x:c>
      <x:c r="E22" s="77" t="str">
        <x:v>Sem retorno</x:v>
      </x:c>
      <x:c r="F22" s="77"/>
    </x:row>
    <x:row r="23">
      <x:c r="A23" s="77"/>
      <x:c r="B23" s="77"/>
      <x:c r="C23" s="77"/>
      <x:c r="D23" s="77"/>
      <x:c r="E23" s="77" t="str">
        <x:v>Não aderente</x:v>
      </x:c>
      <x:c r="F23" s="7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38" hidden="0" customWidth="1"/>
    <x:col min="8" max="8" width="13" hidden="0" customWidth="1"/>
    <x:col min="9" max="9" width="16" hidden="0" customWidth="1"/>
    <x:col min="10" max="10" width="16" hidden="0" customWidth="1"/>
    <x:col min="11" max="11" width="22" hidden="0" customWidth="1"/>
    <x:col min="12" max="12" width="16" hidden="0" customWidth="1"/>
    <x:col min="13" max="13" width="15" hidden="0" customWidth="1"/>
    <x:col min="14" max="14" width="15" hidden="0" customWidth="1"/>
    <x:col min="15" max="15" width="16" hidden="0" customWidth="1"/>
    <x:col min="16" max="16" width="12" hidden="0" customWidth="1"/>
    <x:col min="17" max="17" width="36" hidden="0" customWidth="1"/>
  </x:cols>
  <x:sheetData>
    <x:row r="1" ht="28" customHeight="1">
      <x:c r="A1" s="155" t="str">
        <x:v>SOCORRO! O CUCA RESOLVE | CRM de leads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  <x:c r="L2" s="158"/>
      <x:c r="M2" s="158"/>
      <x:c r="N2" s="158"/>
      <x:c r="O2" s="158"/>
      <x:c r="P2" s="158"/>
      <x:c r="Q2" s="158"/>
    </x:row>
    <x:row r="3" ht="24" customHeight="1">
      <x:c r="A3" s="159" t="str">
        <x:v>Data entrada</x:v>
      </x:c>
      <x:c r="B3" s="159" t="str">
        <x:v>Nome</x:v>
      </x:c>
      <x:c r="C3" s="159" t="str">
        <x:v>WhatsApp</x:v>
      </x:c>
      <x:c r="D3" s="159" t="str">
        <x:v>Cidade/Bairro</x:v>
      </x:c>
      <x:c r="E3" s="159" t="str">
        <x:v>Origem</x:v>
      </x:c>
      <x:c r="F3" s="159" t="str">
        <x:v>Categoria</x:v>
      </x:c>
      <x:c r="G3" s="159" t="str">
        <x:v>Problema</x:v>
      </x:c>
      <x:c r="H3" s="159" t="str">
        <x:v>Foto/Vídeo?</x:v>
      </x:c>
      <x:c r="I3" s="159" t="str">
        <x:v>Orçamento enviado?</x:v>
      </x:c>
      <x:c r="J3" s="159" t="str">
        <x:v>Valor orçamento</x:v>
      </x:c>
      <x:c r="K3" s="159" t="str">
        <x:v>Status</x:v>
      </x:c>
      <x:c r="L3" s="159" t="str">
        <x:v>Próximo follow-up</x:v>
      </x:c>
      <x:c r="M3" s="159" t="str">
        <x:v>Data agendada</x:v>
      </x:c>
      <x:c r="N3" s="159" t="str">
        <x:v>Data conclusão</x:v>
      </x:c>
      <x:c r="O3" s="159" t="str">
        <x:v>Avaliação Google?</x:v>
      </x:c>
      <x:c r="P3" s="159" t="str">
        <x:v>Indicação?</x:v>
      </x:c>
      <x:c r="Q3" s="159" t="str">
        <x:v>Observações</x:v>
      </x:c>
    </x:row>
    <x:row r="4">
      <x:c r="A4" s="83"/>
      <x:c r="B4" s="77"/>
      <x:c r="C4" s="77"/>
      <x:c r="D4" s="77"/>
      <x:c r="E4" s="77"/>
      <x:c r="F4" s="77"/>
      <x:c r="G4" s="77"/>
      <x:c r="H4" s="77"/>
      <x:c r="I4" s="77"/>
      <x:c r="J4" s="80"/>
      <x:c r="K4" s="77"/>
      <x:c r="L4" s="83"/>
      <x:c r="M4" s="83"/>
      <x:c r="N4" s="83"/>
      <x:c r="O4" s="77"/>
      <x:c r="P4" s="77"/>
      <x:c r="Q4" s="77"/>
    </x:row>
    <x:row r="5">
      <x:c r="A5" s="83"/>
      <x:c r="B5" s="77"/>
      <x:c r="C5" s="77"/>
      <x:c r="D5" s="77"/>
      <x:c r="E5" s="77"/>
      <x:c r="F5" s="77"/>
      <x:c r="G5" s="77"/>
      <x:c r="H5" s="77"/>
      <x:c r="I5" s="77"/>
      <x:c r="J5" s="80"/>
      <x:c r="K5" s="77"/>
      <x:c r="L5" s="83"/>
      <x:c r="M5" s="83"/>
      <x:c r="N5" s="83"/>
      <x:c r="O5" s="77"/>
      <x:c r="P5" s="77"/>
      <x:c r="Q5" s="77"/>
    </x:row>
    <x:row r="6">
      <x:c r="A6" s="83"/>
      <x:c r="B6" s="77"/>
      <x:c r="C6" s="77"/>
      <x:c r="D6" s="77"/>
      <x:c r="E6" s="77"/>
      <x:c r="F6" s="77"/>
      <x:c r="G6" s="77"/>
      <x:c r="H6" s="77"/>
      <x:c r="I6" s="77"/>
      <x:c r="J6" s="80"/>
      <x:c r="K6" s="77"/>
      <x:c r="L6" s="83"/>
      <x:c r="M6" s="83"/>
      <x:c r="N6" s="83"/>
      <x:c r="O6" s="77"/>
      <x:c r="P6" s="77"/>
      <x:c r="Q6" s="77"/>
    </x:row>
    <x:row r="7">
      <x:c r="A7" s="83"/>
      <x:c r="B7" s="77"/>
      <x:c r="C7" s="77"/>
      <x:c r="D7" s="77"/>
      <x:c r="E7" s="77"/>
      <x:c r="F7" s="77"/>
      <x:c r="G7" s="77"/>
      <x:c r="H7" s="77"/>
      <x:c r="I7" s="77"/>
      <x:c r="J7" s="80"/>
      <x:c r="K7" s="77"/>
      <x:c r="L7" s="83"/>
      <x:c r="M7" s="83"/>
      <x:c r="N7" s="83"/>
      <x:c r="O7" s="77"/>
      <x:c r="P7" s="77"/>
      <x:c r="Q7" s="77"/>
    </x:row>
    <x:row r="8">
      <x:c r="A8" s="83"/>
      <x:c r="B8" s="77"/>
      <x:c r="C8" s="77"/>
      <x:c r="D8" s="77"/>
      <x:c r="E8" s="77"/>
      <x:c r="F8" s="77"/>
      <x:c r="G8" s="77"/>
      <x:c r="H8" s="77"/>
      <x:c r="I8" s="77"/>
      <x:c r="J8" s="80"/>
      <x:c r="K8" s="77"/>
      <x:c r="L8" s="83"/>
      <x:c r="M8" s="83"/>
      <x:c r="N8" s="83"/>
      <x:c r="O8" s="77"/>
      <x:c r="P8" s="77"/>
      <x:c r="Q8" s="77"/>
    </x:row>
    <x:row r="9">
      <x:c r="A9" s="83"/>
      <x:c r="B9" s="77"/>
      <x:c r="C9" s="77"/>
      <x:c r="D9" s="77"/>
      <x:c r="E9" s="77"/>
      <x:c r="F9" s="77"/>
      <x:c r="G9" s="77"/>
      <x:c r="H9" s="77"/>
      <x:c r="I9" s="77"/>
      <x:c r="J9" s="80"/>
      <x:c r="K9" s="77"/>
      <x:c r="L9" s="83"/>
      <x:c r="M9" s="83"/>
      <x:c r="N9" s="83"/>
      <x:c r="O9" s="77"/>
      <x:c r="P9" s="77"/>
      <x:c r="Q9" s="77"/>
    </x:row>
    <x:row r="10">
      <x:c r="A10" s="83"/>
      <x:c r="B10" s="77"/>
      <x:c r="C10" s="77"/>
      <x:c r="D10" s="77"/>
      <x:c r="E10" s="77"/>
      <x:c r="F10" s="77"/>
      <x:c r="G10" s="77"/>
      <x:c r="H10" s="77"/>
      <x:c r="I10" s="77"/>
      <x:c r="J10" s="80"/>
      <x:c r="K10" s="77"/>
      <x:c r="L10" s="83"/>
      <x:c r="M10" s="83"/>
      <x:c r="N10" s="83"/>
      <x:c r="O10" s="77"/>
      <x:c r="P10" s="77"/>
      <x:c r="Q10" s="77"/>
    </x:row>
    <x:row r="11">
      <x:c r="A11" s="83"/>
      <x:c r="B11" s="77"/>
      <x:c r="C11" s="77"/>
      <x:c r="D11" s="77"/>
      <x:c r="E11" s="77"/>
      <x:c r="F11" s="77"/>
      <x:c r="G11" s="77"/>
      <x:c r="H11" s="77"/>
      <x:c r="I11" s="77"/>
      <x:c r="J11" s="80"/>
      <x:c r="K11" s="77"/>
      <x:c r="L11" s="83"/>
      <x:c r="M11" s="83"/>
      <x:c r="N11" s="83"/>
      <x:c r="O11" s="77"/>
      <x:c r="P11" s="77"/>
      <x:c r="Q11" s="77"/>
    </x:row>
    <x:row r="12">
      <x:c r="A12" s="83"/>
      <x:c r="B12" s="77"/>
      <x:c r="C12" s="77"/>
      <x:c r="D12" s="77"/>
      <x:c r="E12" s="77"/>
      <x:c r="F12" s="77"/>
      <x:c r="G12" s="77"/>
      <x:c r="H12" s="77"/>
      <x:c r="I12" s="77"/>
      <x:c r="J12" s="80"/>
      <x:c r="K12" s="77"/>
      <x:c r="L12" s="83"/>
      <x:c r="M12" s="83"/>
      <x:c r="N12" s="83"/>
      <x:c r="O12" s="77"/>
      <x:c r="P12" s="77"/>
      <x:c r="Q12" s="77"/>
    </x:row>
    <x:row r="13">
      <x:c r="A13" s="83"/>
      <x:c r="B13" s="77"/>
      <x:c r="C13" s="77"/>
      <x:c r="D13" s="77"/>
      <x:c r="E13" s="77"/>
      <x:c r="F13" s="77"/>
      <x:c r="G13" s="77"/>
      <x:c r="H13" s="77"/>
      <x:c r="I13" s="77"/>
      <x:c r="J13" s="80"/>
      <x:c r="K13" s="77"/>
      <x:c r="L13" s="83"/>
      <x:c r="M13" s="83"/>
      <x:c r="N13" s="83"/>
      <x:c r="O13" s="77"/>
      <x:c r="P13" s="77"/>
      <x:c r="Q13" s="77"/>
    </x:row>
    <x:row r="14">
      <x:c r="A14" s="83"/>
      <x:c r="B14" s="77"/>
      <x:c r="C14" s="77"/>
      <x:c r="D14" s="77"/>
      <x:c r="E14" s="77"/>
      <x:c r="F14" s="77"/>
      <x:c r="G14" s="77"/>
      <x:c r="H14" s="77"/>
      <x:c r="I14" s="77"/>
      <x:c r="J14" s="80"/>
      <x:c r="K14" s="77"/>
      <x:c r="L14" s="83"/>
      <x:c r="M14" s="83"/>
      <x:c r="N14" s="83"/>
      <x:c r="O14" s="77"/>
      <x:c r="P14" s="77"/>
      <x:c r="Q14" s="77"/>
    </x:row>
    <x:row r="15">
      <x:c r="A15" s="83"/>
      <x:c r="B15" s="77"/>
      <x:c r="C15" s="77"/>
      <x:c r="D15" s="77"/>
      <x:c r="E15" s="77"/>
      <x:c r="F15" s="77"/>
      <x:c r="G15" s="77"/>
      <x:c r="H15" s="77"/>
      <x:c r="I15" s="77"/>
      <x:c r="J15" s="80"/>
      <x:c r="K15" s="77"/>
      <x:c r="L15" s="83"/>
      <x:c r="M15" s="83"/>
      <x:c r="N15" s="83"/>
      <x:c r="O15" s="77"/>
      <x:c r="P15" s="77"/>
      <x:c r="Q15" s="77"/>
    </x:row>
    <x:row r="16">
      <x:c r="A16" s="83"/>
      <x:c r="B16" s="77"/>
      <x:c r="C16" s="77"/>
      <x:c r="D16" s="77"/>
      <x:c r="E16" s="77"/>
      <x:c r="F16" s="77"/>
      <x:c r="G16" s="77"/>
      <x:c r="H16" s="77"/>
      <x:c r="I16" s="77"/>
      <x:c r="J16" s="80"/>
      <x:c r="K16" s="77"/>
      <x:c r="L16" s="83"/>
      <x:c r="M16" s="83"/>
      <x:c r="N16" s="83"/>
      <x:c r="O16" s="77"/>
      <x:c r="P16" s="77"/>
      <x:c r="Q16" s="77"/>
    </x:row>
    <x:row r="17">
      <x:c r="A17" s="83"/>
      <x:c r="B17" s="77"/>
      <x:c r="C17" s="77"/>
      <x:c r="D17" s="77"/>
      <x:c r="E17" s="77"/>
      <x:c r="F17" s="77"/>
      <x:c r="G17" s="77"/>
      <x:c r="H17" s="77"/>
      <x:c r="I17" s="77"/>
      <x:c r="J17" s="80"/>
      <x:c r="K17" s="77"/>
      <x:c r="L17" s="83"/>
      <x:c r="M17" s="83"/>
      <x:c r="N17" s="83"/>
      <x:c r="O17" s="77"/>
      <x:c r="P17" s="77"/>
      <x:c r="Q17" s="77"/>
    </x:row>
    <x:row r="18">
      <x:c r="A18" s="83"/>
      <x:c r="B18" s="77"/>
      <x:c r="C18" s="77"/>
      <x:c r="D18" s="77"/>
      <x:c r="E18" s="77"/>
      <x:c r="F18" s="77"/>
      <x:c r="G18" s="77"/>
      <x:c r="H18" s="77"/>
      <x:c r="I18" s="77"/>
      <x:c r="J18" s="80"/>
      <x:c r="K18" s="77"/>
      <x:c r="L18" s="83"/>
      <x:c r="M18" s="83"/>
      <x:c r="N18" s="83"/>
      <x:c r="O18" s="77"/>
      <x:c r="P18" s="77"/>
      <x:c r="Q18" s="77"/>
    </x:row>
    <x:row r="19">
      <x:c r="A19" s="83"/>
      <x:c r="B19" s="77"/>
      <x:c r="C19" s="77"/>
      <x:c r="D19" s="77"/>
      <x:c r="E19" s="77"/>
      <x:c r="F19" s="77"/>
      <x:c r="G19" s="77"/>
      <x:c r="H19" s="77"/>
      <x:c r="I19" s="77"/>
      <x:c r="J19" s="80"/>
      <x:c r="K19" s="77"/>
      <x:c r="L19" s="83"/>
      <x:c r="M19" s="83"/>
      <x:c r="N19" s="83"/>
      <x:c r="O19" s="77"/>
      <x:c r="P19" s="77"/>
      <x:c r="Q19" s="77"/>
    </x:row>
    <x:row r="20">
      <x:c r="A20" s="83"/>
      <x:c r="B20" s="77"/>
      <x:c r="C20" s="77"/>
      <x:c r="D20" s="77"/>
      <x:c r="E20" s="77"/>
      <x:c r="F20" s="77"/>
      <x:c r="G20" s="77"/>
      <x:c r="H20" s="77"/>
      <x:c r="I20" s="77"/>
      <x:c r="J20" s="80"/>
      <x:c r="K20" s="77"/>
      <x:c r="L20" s="83"/>
      <x:c r="M20" s="83"/>
      <x:c r="N20" s="83"/>
      <x:c r="O20" s="77"/>
      <x:c r="P20" s="77"/>
      <x:c r="Q20" s="77"/>
    </x:row>
    <x:row r="21">
      <x:c r="A21" s="83"/>
      <x:c r="B21" s="77"/>
      <x:c r="C21" s="77"/>
      <x:c r="D21" s="77"/>
      <x:c r="E21" s="77"/>
      <x:c r="F21" s="77"/>
      <x:c r="G21" s="77"/>
      <x:c r="H21" s="77"/>
      <x:c r="I21" s="77"/>
      <x:c r="J21" s="80"/>
      <x:c r="K21" s="77"/>
      <x:c r="L21" s="83"/>
      <x:c r="M21" s="83"/>
      <x:c r="N21" s="83"/>
      <x:c r="O21" s="77"/>
      <x:c r="P21" s="77"/>
      <x:c r="Q21" s="77"/>
    </x:row>
    <x:row r="22">
      <x:c r="A22" s="83"/>
      <x:c r="B22" s="77"/>
      <x:c r="C22" s="77"/>
      <x:c r="D22" s="77"/>
      <x:c r="E22" s="77"/>
      <x:c r="F22" s="77"/>
      <x:c r="G22" s="77"/>
      <x:c r="H22" s="77"/>
      <x:c r="I22" s="77"/>
      <x:c r="J22" s="80"/>
      <x:c r="K22" s="77"/>
      <x:c r="L22" s="83"/>
      <x:c r="M22" s="83"/>
      <x:c r="N22" s="83"/>
      <x:c r="O22" s="77"/>
      <x:c r="P22" s="77"/>
      <x:c r="Q22" s="77"/>
    </x:row>
    <x:row r="23">
      <x:c r="A23" s="83"/>
      <x:c r="B23" s="77"/>
      <x:c r="C23" s="77"/>
      <x:c r="D23" s="77"/>
      <x:c r="E23" s="77"/>
      <x:c r="F23" s="77"/>
      <x:c r="G23" s="77"/>
      <x:c r="H23" s="77"/>
      <x:c r="I23" s="77"/>
      <x:c r="J23" s="80"/>
      <x:c r="K23" s="77"/>
      <x:c r="L23" s="83"/>
      <x:c r="M23" s="83"/>
      <x:c r="N23" s="83"/>
      <x:c r="O23" s="77"/>
      <x:c r="P23" s="77"/>
      <x:c r="Q23" s="77"/>
    </x:row>
    <x:row r="24">
      <x:c r="A24" s="83"/>
      <x:c r="B24" s="77"/>
      <x:c r="C24" s="77"/>
      <x:c r="D24" s="77"/>
      <x:c r="E24" s="77"/>
      <x:c r="F24" s="77"/>
      <x:c r="G24" s="77"/>
      <x:c r="H24" s="77"/>
      <x:c r="I24" s="77"/>
      <x:c r="J24" s="80"/>
      <x:c r="K24" s="77"/>
      <x:c r="L24" s="83"/>
      <x:c r="M24" s="83"/>
      <x:c r="N24" s="83"/>
      <x:c r="O24" s="77"/>
      <x:c r="P24" s="77"/>
      <x:c r="Q24" s="77"/>
    </x:row>
    <x:row r="25">
      <x:c r="A25" s="83"/>
      <x:c r="B25" s="77"/>
      <x:c r="C25" s="77"/>
      <x:c r="D25" s="77"/>
      <x:c r="E25" s="77"/>
      <x:c r="F25" s="77"/>
      <x:c r="G25" s="77"/>
      <x:c r="H25" s="77"/>
      <x:c r="I25" s="77"/>
      <x:c r="J25" s="80"/>
      <x:c r="K25" s="77"/>
      <x:c r="L25" s="83"/>
      <x:c r="M25" s="83"/>
      <x:c r="N25" s="83"/>
      <x:c r="O25" s="77"/>
      <x:c r="P25" s="77"/>
      <x:c r="Q25" s="77"/>
    </x:row>
    <x:row r="26">
      <x:c r="A26" s="83"/>
      <x:c r="B26" s="77"/>
      <x:c r="C26" s="77"/>
      <x:c r="D26" s="77"/>
      <x:c r="E26" s="77"/>
      <x:c r="F26" s="77"/>
      <x:c r="G26" s="77"/>
      <x:c r="H26" s="77"/>
      <x:c r="I26" s="77"/>
      <x:c r="J26" s="80"/>
      <x:c r="K26" s="77"/>
      <x:c r="L26" s="83"/>
      <x:c r="M26" s="83"/>
      <x:c r="N26" s="83"/>
      <x:c r="O26" s="77"/>
      <x:c r="P26" s="77"/>
      <x:c r="Q26" s="77"/>
    </x:row>
    <x:row r="27">
      <x:c r="A27" s="83"/>
      <x:c r="B27" s="77"/>
      <x:c r="C27" s="77"/>
      <x:c r="D27" s="77"/>
      <x:c r="E27" s="77"/>
      <x:c r="F27" s="77"/>
      <x:c r="G27" s="77"/>
      <x:c r="H27" s="77"/>
      <x:c r="I27" s="77"/>
      <x:c r="J27" s="80"/>
      <x:c r="K27" s="77"/>
      <x:c r="L27" s="83"/>
      <x:c r="M27" s="83"/>
      <x:c r="N27" s="83"/>
      <x:c r="O27" s="77"/>
      <x:c r="P27" s="77"/>
      <x:c r="Q27" s="77"/>
    </x:row>
    <x:row r="28">
      <x:c r="A28" s="83"/>
      <x:c r="B28" s="77"/>
      <x:c r="C28" s="77"/>
      <x:c r="D28" s="77"/>
      <x:c r="E28" s="77"/>
      <x:c r="F28" s="77"/>
      <x:c r="G28" s="77"/>
      <x:c r="H28" s="77"/>
      <x:c r="I28" s="77"/>
      <x:c r="J28" s="80"/>
      <x:c r="K28" s="77"/>
      <x:c r="L28" s="83"/>
      <x:c r="M28" s="83"/>
      <x:c r="N28" s="83"/>
      <x:c r="O28" s="77"/>
      <x:c r="P28" s="77"/>
      <x:c r="Q28" s="77"/>
    </x:row>
    <x:row r="29">
      <x:c r="A29" s="83"/>
      <x:c r="B29" s="77"/>
      <x:c r="C29" s="77"/>
      <x:c r="D29" s="77"/>
      <x:c r="E29" s="77"/>
      <x:c r="F29" s="77"/>
      <x:c r="G29" s="77"/>
      <x:c r="H29" s="77"/>
      <x:c r="I29" s="77"/>
      <x:c r="J29" s="80"/>
      <x:c r="K29" s="77"/>
      <x:c r="L29" s="83"/>
      <x:c r="M29" s="83"/>
      <x:c r="N29" s="83"/>
      <x:c r="O29" s="77"/>
      <x:c r="P29" s="77"/>
      <x:c r="Q29" s="77"/>
    </x:row>
    <x:row r="30">
      <x:c r="A30" s="83"/>
      <x:c r="B30" s="77"/>
      <x:c r="C30" s="77"/>
      <x:c r="D30" s="77"/>
      <x:c r="E30" s="77"/>
      <x:c r="F30" s="77"/>
      <x:c r="G30" s="77"/>
      <x:c r="H30" s="77"/>
      <x:c r="I30" s="77"/>
      <x:c r="J30" s="80"/>
      <x:c r="K30" s="77"/>
      <x:c r="L30" s="83"/>
      <x:c r="M30" s="83"/>
      <x:c r="N30" s="83"/>
      <x:c r="O30" s="77"/>
      <x:c r="P30" s="77"/>
      <x:c r="Q30" s="77"/>
    </x:row>
    <x:row r="31">
      <x:c r="A31" s="83"/>
      <x:c r="B31" s="77"/>
      <x:c r="C31" s="77"/>
      <x:c r="D31" s="77"/>
      <x:c r="E31" s="77"/>
      <x:c r="F31" s="77"/>
      <x:c r="G31" s="77"/>
      <x:c r="H31" s="77"/>
      <x:c r="I31" s="77"/>
      <x:c r="J31" s="80"/>
      <x:c r="K31" s="77"/>
      <x:c r="L31" s="83"/>
      <x:c r="M31" s="83"/>
      <x:c r="N31" s="83"/>
      <x:c r="O31" s="77"/>
      <x:c r="P31" s="77"/>
      <x:c r="Q31" s="77"/>
    </x:row>
    <x:row r="32">
      <x:c r="A32" s="83"/>
      <x:c r="B32" s="77"/>
      <x:c r="C32" s="77"/>
      <x:c r="D32" s="77"/>
      <x:c r="E32" s="77"/>
      <x:c r="F32" s="77"/>
      <x:c r="G32" s="77"/>
      <x:c r="H32" s="77"/>
      <x:c r="I32" s="77"/>
      <x:c r="J32" s="80"/>
      <x:c r="K32" s="77"/>
      <x:c r="L32" s="83"/>
      <x:c r="M32" s="83"/>
      <x:c r="N32" s="83"/>
      <x:c r="O32" s="77"/>
      <x:c r="P32" s="77"/>
      <x:c r="Q32" s="77"/>
    </x:row>
    <x:row r="33">
      <x:c r="A33" s="83"/>
      <x:c r="B33" s="77"/>
      <x:c r="C33" s="77"/>
      <x:c r="D33" s="77"/>
      <x:c r="E33" s="77"/>
      <x:c r="F33" s="77"/>
      <x:c r="G33" s="77"/>
      <x:c r="H33" s="77"/>
      <x:c r="I33" s="77"/>
      <x:c r="J33" s="80"/>
      <x:c r="K33" s="77"/>
      <x:c r="L33" s="83"/>
      <x:c r="M33" s="83"/>
      <x:c r="N33" s="83"/>
      <x:c r="O33" s="77"/>
      <x:c r="P33" s="77"/>
      <x:c r="Q33" s="77"/>
    </x:row>
    <x:row r="34">
      <x:c r="A34" s="83"/>
      <x:c r="B34" s="77"/>
      <x:c r="C34" s="77"/>
      <x:c r="D34" s="77"/>
      <x:c r="E34" s="77"/>
      <x:c r="F34" s="77"/>
      <x:c r="G34" s="77"/>
      <x:c r="H34" s="77"/>
      <x:c r="I34" s="77"/>
      <x:c r="J34" s="80"/>
      <x:c r="K34" s="77"/>
      <x:c r="L34" s="83"/>
      <x:c r="M34" s="83"/>
      <x:c r="N34" s="83"/>
      <x:c r="O34" s="77"/>
      <x:c r="P34" s="77"/>
      <x:c r="Q34" s="77"/>
    </x:row>
    <x:row r="35">
      <x:c r="A35" s="83"/>
      <x:c r="B35" s="77"/>
      <x:c r="C35" s="77"/>
      <x:c r="D35" s="77"/>
      <x:c r="E35" s="77"/>
      <x:c r="F35" s="77"/>
      <x:c r="G35" s="77"/>
      <x:c r="H35" s="77"/>
      <x:c r="I35" s="77"/>
      <x:c r="J35" s="80"/>
      <x:c r="K35" s="77"/>
      <x:c r="L35" s="83"/>
      <x:c r="M35" s="83"/>
      <x:c r="N35" s="83"/>
      <x:c r="O35" s="77"/>
      <x:c r="P35" s="77"/>
      <x:c r="Q35" s="77"/>
    </x:row>
    <x:row r="36">
      <x:c r="A36" s="83"/>
      <x:c r="B36" s="77"/>
      <x:c r="C36" s="77"/>
      <x:c r="D36" s="77"/>
      <x:c r="E36" s="77"/>
      <x:c r="F36" s="77"/>
      <x:c r="G36" s="77"/>
      <x:c r="H36" s="77"/>
      <x:c r="I36" s="77"/>
      <x:c r="J36" s="80"/>
      <x:c r="K36" s="77"/>
      <x:c r="L36" s="83"/>
      <x:c r="M36" s="83"/>
      <x:c r="N36" s="83"/>
      <x:c r="O36" s="77"/>
      <x:c r="P36" s="77"/>
      <x:c r="Q36" s="77"/>
    </x:row>
    <x:row r="37">
      <x:c r="A37" s="83"/>
      <x:c r="B37" s="77"/>
      <x:c r="C37" s="77"/>
      <x:c r="D37" s="77"/>
      <x:c r="E37" s="77"/>
      <x:c r="F37" s="77"/>
      <x:c r="G37" s="77"/>
      <x:c r="H37" s="77"/>
      <x:c r="I37" s="77"/>
      <x:c r="J37" s="80"/>
      <x:c r="K37" s="77"/>
      <x:c r="L37" s="83"/>
      <x:c r="M37" s="83"/>
      <x:c r="N37" s="83"/>
      <x:c r="O37" s="77"/>
      <x:c r="P37" s="77"/>
      <x:c r="Q37" s="77"/>
    </x:row>
    <x:row r="38">
      <x:c r="A38" s="83"/>
      <x:c r="B38" s="77"/>
      <x:c r="C38" s="77"/>
      <x:c r="D38" s="77"/>
      <x:c r="E38" s="77"/>
      <x:c r="F38" s="77"/>
      <x:c r="G38" s="77"/>
      <x:c r="H38" s="77"/>
      <x:c r="I38" s="77"/>
      <x:c r="J38" s="80"/>
      <x:c r="K38" s="77"/>
      <x:c r="L38" s="83"/>
      <x:c r="M38" s="83"/>
      <x:c r="N38" s="83"/>
      <x:c r="O38" s="77"/>
      <x:c r="P38" s="77"/>
      <x:c r="Q38" s="77"/>
    </x:row>
    <x:row r="39">
      <x:c r="A39" s="83"/>
      <x:c r="B39" s="77"/>
      <x:c r="C39" s="77"/>
      <x:c r="D39" s="77"/>
      <x:c r="E39" s="77"/>
      <x:c r="F39" s="77"/>
      <x:c r="G39" s="77"/>
      <x:c r="H39" s="77"/>
      <x:c r="I39" s="77"/>
      <x:c r="J39" s="80"/>
      <x:c r="K39" s="77"/>
      <x:c r="L39" s="83"/>
      <x:c r="M39" s="83"/>
      <x:c r="N39" s="83"/>
      <x:c r="O39" s="77"/>
      <x:c r="P39" s="77"/>
      <x:c r="Q39" s="77"/>
    </x:row>
    <x:row r="40">
      <x:c r="A40" s="83"/>
      <x:c r="B40" s="77"/>
      <x:c r="C40" s="77"/>
      <x:c r="D40" s="77"/>
      <x:c r="E40" s="77"/>
      <x:c r="F40" s="77"/>
      <x:c r="G40" s="77"/>
      <x:c r="H40" s="77"/>
      <x:c r="I40" s="77"/>
      <x:c r="J40" s="80"/>
      <x:c r="K40" s="77"/>
      <x:c r="L40" s="83"/>
      <x:c r="M40" s="83"/>
      <x:c r="N40" s="83"/>
      <x:c r="O40" s="77"/>
      <x:c r="P40" s="77"/>
      <x:c r="Q40" s="77"/>
    </x:row>
    <x:row r="41">
      <x:c r="A41" s="83"/>
      <x:c r="B41" s="77"/>
      <x:c r="C41" s="77"/>
      <x:c r="D41" s="77"/>
      <x:c r="E41" s="77"/>
      <x:c r="F41" s="77"/>
      <x:c r="G41" s="77"/>
      <x:c r="H41" s="77"/>
      <x:c r="I41" s="77"/>
      <x:c r="J41" s="80"/>
      <x:c r="K41" s="77"/>
      <x:c r="L41" s="83"/>
      <x:c r="M41" s="83"/>
      <x:c r="N41" s="83"/>
      <x:c r="O41" s="77"/>
      <x:c r="P41" s="77"/>
      <x:c r="Q41" s="77"/>
    </x:row>
    <x:row r="42">
      <x:c r="A42" s="83"/>
      <x:c r="B42" s="77"/>
      <x:c r="C42" s="77"/>
      <x:c r="D42" s="77"/>
      <x:c r="E42" s="77"/>
      <x:c r="F42" s="77"/>
      <x:c r="G42" s="77"/>
      <x:c r="H42" s="77"/>
      <x:c r="I42" s="77"/>
      <x:c r="J42" s="80"/>
      <x:c r="K42" s="77"/>
      <x:c r="L42" s="83"/>
      <x:c r="M42" s="83"/>
      <x:c r="N42" s="83"/>
      <x:c r="O42" s="77"/>
      <x:c r="P42" s="77"/>
      <x:c r="Q42" s="77"/>
    </x:row>
    <x:row r="43">
      <x:c r="A43" s="83"/>
      <x:c r="B43" s="77"/>
      <x:c r="C43" s="77"/>
      <x:c r="D43" s="77"/>
      <x:c r="E43" s="77"/>
      <x:c r="F43" s="77"/>
      <x:c r="G43" s="77"/>
      <x:c r="H43" s="77"/>
      <x:c r="I43" s="77"/>
      <x:c r="J43" s="80"/>
      <x:c r="K43" s="77"/>
      <x:c r="L43" s="83"/>
      <x:c r="M43" s="83"/>
      <x:c r="N43" s="83"/>
      <x:c r="O43" s="77"/>
      <x:c r="P43" s="77"/>
      <x:c r="Q43" s="77"/>
    </x:row>
    <x:row r="44">
      <x:c r="A44" s="83"/>
      <x:c r="B44" s="77"/>
      <x:c r="C44" s="77"/>
      <x:c r="D44" s="77"/>
      <x:c r="E44" s="77"/>
      <x:c r="F44" s="77"/>
      <x:c r="G44" s="77"/>
      <x:c r="H44" s="77"/>
      <x:c r="I44" s="77"/>
      <x:c r="J44" s="80"/>
      <x:c r="K44" s="77"/>
      <x:c r="L44" s="83"/>
      <x:c r="M44" s="83"/>
      <x:c r="N44" s="83"/>
      <x:c r="O44" s="77"/>
      <x:c r="P44" s="77"/>
      <x:c r="Q44" s="77"/>
    </x:row>
    <x:row r="45">
      <x:c r="A45" s="83"/>
      <x:c r="B45" s="77"/>
      <x:c r="C45" s="77"/>
      <x:c r="D45" s="77"/>
      <x:c r="E45" s="77"/>
      <x:c r="F45" s="77"/>
      <x:c r="G45" s="77"/>
      <x:c r="H45" s="77"/>
      <x:c r="I45" s="77"/>
      <x:c r="J45" s="80"/>
      <x:c r="K45" s="77"/>
      <x:c r="L45" s="83"/>
      <x:c r="M45" s="83"/>
      <x:c r="N45" s="83"/>
      <x:c r="O45" s="77"/>
      <x:c r="P45" s="77"/>
      <x:c r="Q45" s="77"/>
    </x:row>
    <x:row r="46">
      <x:c r="A46" s="83"/>
      <x:c r="B46" s="77"/>
      <x:c r="C46" s="77"/>
      <x:c r="D46" s="77"/>
      <x:c r="E46" s="77"/>
      <x:c r="F46" s="77"/>
      <x:c r="G46" s="77"/>
      <x:c r="H46" s="77"/>
      <x:c r="I46" s="77"/>
      <x:c r="J46" s="80"/>
      <x:c r="K46" s="77"/>
      <x:c r="L46" s="83"/>
      <x:c r="M46" s="83"/>
      <x:c r="N46" s="83"/>
      <x:c r="O46" s="77"/>
      <x:c r="P46" s="77"/>
      <x:c r="Q46" s="77"/>
    </x:row>
    <x:row r="47">
      <x:c r="A47" s="83"/>
      <x:c r="B47" s="77"/>
      <x:c r="C47" s="77"/>
      <x:c r="D47" s="77"/>
      <x:c r="E47" s="77"/>
      <x:c r="F47" s="77"/>
      <x:c r="G47" s="77"/>
      <x:c r="H47" s="77"/>
      <x:c r="I47" s="77"/>
      <x:c r="J47" s="80"/>
      <x:c r="K47" s="77"/>
      <x:c r="L47" s="83"/>
      <x:c r="M47" s="83"/>
      <x:c r="N47" s="83"/>
      <x:c r="O47" s="77"/>
      <x:c r="P47" s="77"/>
      <x:c r="Q47" s="77"/>
    </x:row>
    <x:row r="48">
      <x:c r="A48" s="83"/>
      <x:c r="B48" s="77"/>
      <x:c r="C48" s="77"/>
      <x:c r="D48" s="77"/>
      <x:c r="E48" s="77"/>
      <x:c r="F48" s="77"/>
      <x:c r="G48" s="77"/>
      <x:c r="H48" s="77"/>
      <x:c r="I48" s="77"/>
      <x:c r="J48" s="80"/>
      <x:c r="K48" s="77"/>
      <x:c r="L48" s="83"/>
      <x:c r="M48" s="83"/>
      <x:c r="N48" s="83"/>
      <x:c r="O48" s="77"/>
      <x:c r="P48" s="77"/>
      <x:c r="Q48" s="77"/>
    </x:row>
    <x:row r="49">
      <x:c r="A49" s="83"/>
      <x:c r="B49" s="77"/>
      <x:c r="C49" s="77"/>
      <x:c r="D49" s="77"/>
      <x:c r="E49" s="77"/>
      <x:c r="F49" s="77"/>
      <x:c r="G49" s="77"/>
      <x:c r="H49" s="77"/>
      <x:c r="I49" s="77"/>
      <x:c r="J49" s="80"/>
      <x:c r="K49" s="77"/>
      <x:c r="L49" s="83"/>
      <x:c r="M49" s="83"/>
      <x:c r="N49" s="83"/>
      <x:c r="O49" s="77"/>
      <x:c r="P49" s="77"/>
      <x:c r="Q49" s="77"/>
    </x:row>
    <x:row r="50">
      <x:c r="A50" s="83"/>
      <x:c r="B50" s="77"/>
      <x:c r="C50" s="77"/>
      <x:c r="D50" s="77"/>
      <x:c r="E50" s="77"/>
      <x:c r="F50" s="77"/>
      <x:c r="G50" s="77"/>
      <x:c r="H50" s="77"/>
      <x:c r="I50" s="77"/>
      <x:c r="J50" s="80"/>
      <x:c r="K50" s="77"/>
      <x:c r="L50" s="83"/>
      <x:c r="M50" s="83"/>
      <x:c r="N50" s="83"/>
      <x:c r="O50" s="77"/>
      <x:c r="P50" s="77"/>
      <x:c r="Q50" s="77"/>
    </x:row>
    <x:row r="51">
      <x:c r="A51" s="83"/>
      <x:c r="B51" s="77"/>
      <x:c r="C51" s="77"/>
      <x:c r="D51" s="77"/>
      <x:c r="E51" s="77"/>
      <x:c r="F51" s="77"/>
      <x:c r="G51" s="77"/>
      <x:c r="H51" s="77"/>
      <x:c r="I51" s="77"/>
      <x:c r="J51" s="80"/>
      <x:c r="K51" s="77"/>
      <x:c r="L51" s="83"/>
      <x:c r="M51" s="83"/>
      <x:c r="N51" s="83"/>
      <x:c r="O51" s="77"/>
      <x:c r="P51" s="77"/>
      <x:c r="Q51" s="77"/>
    </x:row>
    <x:row r="52">
      <x:c r="A52" s="83"/>
      <x:c r="B52" s="77"/>
      <x:c r="C52" s="77"/>
      <x:c r="D52" s="77"/>
      <x:c r="E52" s="77"/>
      <x:c r="F52" s="77"/>
      <x:c r="G52" s="77"/>
      <x:c r="H52" s="77"/>
      <x:c r="I52" s="77"/>
      <x:c r="J52" s="80"/>
      <x:c r="K52" s="77"/>
      <x:c r="L52" s="83"/>
      <x:c r="M52" s="83"/>
      <x:c r="N52" s="83"/>
      <x:c r="O52" s="77"/>
      <x:c r="P52" s="77"/>
      <x:c r="Q52" s="77"/>
    </x:row>
    <x:row r="53">
      <x:c r="A53" s="83"/>
      <x:c r="B53" s="77"/>
      <x:c r="C53" s="77"/>
      <x:c r="D53" s="77"/>
      <x:c r="E53" s="77"/>
      <x:c r="F53" s="77"/>
      <x:c r="G53" s="77"/>
      <x:c r="H53" s="77"/>
      <x:c r="I53" s="77"/>
      <x:c r="J53" s="80"/>
      <x:c r="K53" s="77"/>
      <x:c r="L53" s="83"/>
      <x:c r="M53" s="83"/>
      <x:c r="N53" s="83"/>
      <x:c r="O53" s="77"/>
      <x:c r="P53" s="77"/>
      <x:c r="Q53" s="77"/>
    </x:row>
    <x:row r="54">
      <x:c r="A54" s="83"/>
      <x:c r="B54" s="77"/>
      <x:c r="C54" s="77"/>
      <x:c r="D54" s="77"/>
      <x:c r="E54" s="77"/>
      <x:c r="F54" s="77"/>
      <x:c r="G54" s="77"/>
      <x:c r="H54" s="77"/>
      <x:c r="I54" s="77"/>
      <x:c r="J54" s="80"/>
      <x:c r="K54" s="77"/>
      <x:c r="L54" s="83"/>
      <x:c r="M54" s="83"/>
      <x:c r="N54" s="83"/>
      <x:c r="O54" s="77"/>
      <x:c r="P54" s="77"/>
      <x:c r="Q54" s="77"/>
    </x:row>
    <x:row r="55">
      <x:c r="A55" s="83"/>
      <x:c r="B55" s="77"/>
      <x:c r="C55" s="77"/>
      <x:c r="D55" s="77"/>
      <x:c r="E55" s="77"/>
      <x:c r="F55" s="77"/>
      <x:c r="G55" s="77"/>
      <x:c r="H55" s="77"/>
      <x:c r="I55" s="77"/>
      <x:c r="J55" s="80"/>
      <x:c r="K55" s="77"/>
      <x:c r="L55" s="83"/>
      <x:c r="M55" s="83"/>
      <x:c r="N55" s="83"/>
      <x:c r="O55" s="77"/>
      <x:c r="P55" s="77"/>
      <x:c r="Q55" s="77"/>
    </x:row>
    <x:row r="56">
      <x:c r="A56" s="83"/>
      <x:c r="B56" s="77"/>
      <x:c r="C56" s="77"/>
      <x:c r="D56" s="77"/>
      <x:c r="E56" s="77"/>
      <x:c r="F56" s="77"/>
      <x:c r="G56" s="77"/>
      <x:c r="H56" s="77"/>
      <x:c r="I56" s="77"/>
      <x:c r="J56" s="80"/>
      <x:c r="K56" s="77"/>
      <x:c r="L56" s="83"/>
      <x:c r="M56" s="83"/>
      <x:c r="N56" s="83"/>
      <x:c r="O56" s="77"/>
      <x:c r="P56" s="77"/>
      <x:c r="Q56" s="77"/>
    </x:row>
    <x:row r="57">
      <x:c r="A57" s="83"/>
      <x:c r="B57" s="77"/>
      <x:c r="C57" s="77"/>
      <x:c r="D57" s="77"/>
      <x:c r="E57" s="77"/>
      <x:c r="F57" s="77"/>
      <x:c r="G57" s="77"/>
      <x:c r="H57" s="77"/>
      <x:c r="I57" s="77"/>
      <x:c r="J57" s="80"/>
      <x:c r="K57" s="77"/>
      <x:c r="L57" s="83"/>
      <x:c r="M57" s="83"/>
      <x:c r="N57" s="83"/>
      <x:c r="O57" s="77"/>
      <x:c r="P57" s="77"/>
      <x:c r="Q57" s="77"/>
    </x:row>
    <x:row r="58">
      <x:c r="A58" s="83"/>
      <x:c r="B58" s="77"/>
      <x:c r="C58" s="77"/>
      <x:c r="D58" s="77"/>
      <x:c r="E58" s="77"/>
      <x:c r="F58" s="77"/>
      <x:c r="G58" s="77"/>
      <x:c r="H58" s="77"/>
      <x:c r="I58" s="77"/>
      <x:c r="J58" s="80"/>
      <x:c r="K58" s="77"/>
      <x:c r="L58" s="83"/>
      <x:c r="M58" s="83"/>
      <x:c r="N58" s="83"/>
      <x:c r="O58" s="77"/>
      <x:c r="P58" s="77"/>
      <x:c r="Q58" s="77"/>
    </x:row>
    <x:row r="59">
      <x:c r="A59" s="83"/>
      <x:c r="B59" s="77"/>
      <x:c r="C59" s="77"/>
      <x:c r="D59" s="77"/>
      <x:c r="E59" s="77"/>
      <x:c r="F59" s="77"/>
      <x:c r="G59" s="77"/>
      <x:c r="H59" s="77"/>
      <x:c r="I59" s="77"/>
      <x:c r="J59" s="80"/>
      <x:c r="K59" s="77"/>
      <x:c r="L59" s="83"/>
      <x:c r="M59" s="83"/>
      <x:c r="N59" s="83"/>
      <x:c r="O59" s="77"/>
      <x:c r="P59" s="77"/>
      <x:c r="Q59" s="77"/>
    </x:row>
    <x:row r="60">
      <x:c r="A60" s="83"/>
      <x:c r="B60" s="77"/>
      <x:c r="C60" s="77"/>
      <x:c r="D60" s="77"/>
      <x:c r="E60" s="77"/>
      <x:c r="F60" s="77"/>
      <x:c r="G60" s="77"/>
      <x:c r="H60" s="77"/>
      <x:c r="I60" s="77"/>
      <x:c r="J60" s="80"/>
      <x:c r="K60" s="77"/>
      <x:c r="L60" s="83"/>
      <x:c r="M60" s="83"/>
      <x:c r="N60" s="83"/>
      <x:c r="O60" s="77"/>
      <x:c r="P60" s="77"/>
      <x:c r="Q60" s="77"/>
    </x:row>
    <x:row r="61">
      <x:c r="A61" s="83"/>
      <x:c r="B61" s="77"/>
      <x:c r="C61" s="77"/>
      <x:c r="D61" s="77"/>
      <x:c r="E61" s="77"/>
      <x:c r="F61" s="77"/>
      <x:c r="G61" s="77"/>
      <x:c r="H61" s="77"/>
      <x:c r="I61" s="77"/>
      <x:c r="J61" s="80"/>
      <x:c r="K61" s="77"/>
      <x:c r="L61" s="83"/>
      <x:c r="M61" s="83"/>
      <x:c r="N61" s="83"/>
      <x:c r="O61" s="77"/>
      <x:c r="P61" s="77"/>
      <x:c r="Q61" s="77"/>
    </x:row>
    <x:row r="62">
      <x:c r="A62" s="83"/>
      <x:c r="B62" s="77"/>
      <x:c r="C62" s="77"/>
      <x:c r="D62" s="77"/>
      <x:c r="E62" s="77"/>
      <x:c r="F62" s="77"/>
      <x:c r="G62" s="77"/>
      <x:c r="H62" s="77"/>
      <x:c r="I62" s="77"/>
      <x:c r="J62" s="80"/>
      <x:c r="K62" s="77"/>
      <x:c r="L62" s="83"/>
      <x:c r="M62" s="83"/>
      <x:c r="N62" s="83"/>
      <x:c r="O62" s="77"/>
      <x:c r="P62" s="77"/>
      <x:c r="Q62" s="77"/>
    </x:row>
    <x:row r="63">
      <x:c r="A63" s="83"/>
      <x:c r="B63" s="77"/>
      <x:c r="C63" s="77"/>
      <x:c r="D63" s="77"/>
      <x:c r="E63" s="77"/>
      <x:c r="F63" s="77"/>
      <x:c r="G63" s="77"/>
      <x:c r="H63" s="77"/>
      <x:c r="I63" s="77"/>
      <x:c r="J63" s="80"/>
      <x:c r="K63" s="77"/>
      <x:c r="L63" s="83"/>
      <x:c r="M63" s="83"/>
      <x:c r="N63" s="83"/>
      <x:c r="O63" s="77"/>
      <x:c r="P63" s="77"/>
      <x:c r="Q63" s="77"/>
    </x:row>
    <x:row r="64">
      <x:c r="A64" s="83"/>
      <x:c r="B64" s="77"/>
      <x:c r="C64" s="77"/>
      <x:c r="D64" s="77"/>
      <x:c r="E64" s="77"/>
      <x:c r="F64" s="77"/>
      <x:c r="G64" s="77"/>
      <x:c r="H64" s="77"/>
      <x:c r="I64" s="77"/>
      <x:c r="J64" s="80"/>
      <x:c r="K64" s="77"/>
      <x:c r="L64" s="83"/>
      <x:c r="M64" s="83"/>
      <x:c r="N64" s="83"/>
      <x:c r="O64" s="77"/>
      <x:c r="P64" s="77"/>
      <x:c r="Q64" s="77"/>
    </x:row>
    <x:row r="65">
      <x:c r="A65" s="83"/>
      <x:c r="B65" s="77"/>
      <x:c r="C65" s="77"/>
      <x:c r="D65" s="77"/>
      <x:c r="E65" s="77"/>
      <x:c r="F65" s="77"/>
      <x:c r="G65" s="77"/>
      <x:c r="H65" s="77"/>
      <x:c r="I65" s="77"/>
      <x:c r="J65" s="80"/>
      <x:c r="K65" s="77"/>
      <x:c r="L65" s="83"/>
      <x:c r="M65" s="83"/>
      <x:c r="N65" s="83"/>
      <x:c r="O65" s="77"/>
      <x:c r="P65" s="77"/>
      <x:c r="Q65" s="77"/>
    </x:row>
    <x:row r="66">
      <x:c r="A66" s="83"/>
      <x:c r="B66" s="77"/>
      <x:c r="C66" s="77"/>
      <x:c r="D66" s="77"/>
      <x:c r="E66" s="77"/>
      <x:c r="F66" s="77"/>
      <x:c r="G66" s="77"/>
      <x:c r="H66" s="77"/>
      <x:c r="I66" s="77"/>
      <x:c r="J66" s="80"/>
      <x:c r="K66" s="77"/>
      <x:c r="L66" s="83"/>
      <x:c r="M66" s="83"/>
      <x:c r="N66" s="83"/>
      <x:c r="O66" s="77"/>
      <x:c r="P66" s="77"/>
      <x:c r="Q66" s="77"/>
    </x:row>
    <x:row r="67">
      <x:c r="A67" s="83"/>
      <x:c r="B67" s="77"/>
      <x:c r="C67" s="77"/>
      <x:c r="D67" s="77"/>
      <x:c r="E67" s="77"/>
      <x:c r="F67" s="77"/>
      <x:c r="G67" s="77"/>
      <x:c r="H67" s="77"/>
      <x:c r="I67" s="77"/>
      <x:c r="J67" s="80"/>
      <x:c r="K67" s="77"/>
      <x:c r="L67" s="83"/>
      <x:c r="M67" s="83"/>
      <x:c r="N67" s="83"/>
      <x:c r="O67" s="77"/>
      <x:c r="P67" s="77"/>
      <x:c r="Q67" s="77"/>
    </x:row>
    <x:row r="68">
      <x:c r="A68" s="83"/>
      <x:c r="B68" s="77"/>
      <x:c r="C68" s="77"/>
      <x:c r="D68" s="77"/>
      <x:c r="E68" s="77"/>
      <x:c r="F68" s="77"/>
      <x:c r="G68" s="77"/>
      <x:c r="H68" s="77"/>
      <x:c r="I68" s="77"/>
      <x:c r="J68" s="80"/>
      <x:c r="K68" s="77"/>
      <x:c r="L68" s="83"/>
      <x:c r="M68" s="83"/>
      <x:c r="N68" s="83"/>
      <x:c r="O68" s="77"/>
      <x:c r="P68" s="77"/>
      <x:c r="Q68" s="77"/>
    </x:row>
    <x:row r="69">
      <x:c r="A69" s="83"/>
      <x:c r="B69" s="77"/>
      <x:c r="C69" s="77"/>
      <x:c r="D69" s="77"/>
      <x:c r="E69" s="77"/>
      <x:c r="F69" s="77"/>
      <x:c r="G69" s="77"/>
      <x:c r="H69" s="77"/>
      <x:c r="I69" s="77"/>
      <x:c r="J69" s="80"/>
      <x:c r="K69" s="77"/>
      <x:c r="L69" s="83"/>
      <x:c r="M69" s="83"/>
      <x:c r="N69" s="83"/>
      <x:c r="O69" s="77"/>
      <x:c r="P69" s="77"/>
      <x:c r="Q69" s="77"/>
    </x:row>
    <x:row r="70">
      <x:c r="A70" s="83"/>
      <x:c r="B70" s="77"/>
      <x:c r="C70" s="77"/>
      <x:c r="D70" s="77"/>
      <x:c r="E70" s="77"/>
      <x:c r="F70" s="77"/>
      <x:c r="G70" s="77"/>
      <x:c r="H70" s="77"/>
      <x:c r="I70" s="77"/>
      <x:c r="J70" s="80"/>
      <x:c r="K70" s="77"/>
      <x:c r="L70" s="83"/>
      <x:c r="M70" s="83"/>
      <x:c r="N70" s="83"/>
      <x:c r="O70" s="77"/>
      <x:c r="P70" s="77"/>
      <x:c r="Q70" s="77"/>
    </x:row>
    <x:row r="71">
      <x:c r="A71" s="83"/>
      <x:c r="B71" s="77"/>
      <x:c r="C71" s="77"/>
      <x:c r="D71" s="77"/>
      <x:c r="E71" s="77"/>
      <x:c r="F71" s="77"/>
      <x:c r="G71" s="77"/>
      <x:c r="H71" s="77"/>
      <x:c r="I71" s="77"/>
      <x:c r="J71" s="80"/>
      <x:c r="K71" s="77"/>
      <x:c r="L71" s="83"/>
      <x:c r="M71" s="83"/>
      <x:c r="N71" s="83"/>
      <x:c r="O71" s="77"/>
      <x:c r="P71" s="77"/>
      <x:c r="Q71" s="77"/>
    </x:row>
    <x:row r="72">
      <x:c r="A72" s="83"/>
      <x:c r="B72" s="77"/>
      <x:c r="C72" s="77"/>
      <x:c r="D72" s="77"/>
      <x:c r="E72" s="77"/>
      <x:c r="F72" s="77"/>
      <x:c r="G72" s="77"/>
      <x:c r="H72" s="77"/>
      <x:c r="I72" s="77"/>
      <x:c r="J72" s="80"/>
      <x:c r="K72" s="77"/>
      <x:c r="L72" s="83"/>
      <x:c r="M72" s="83"/>
      <x:c r="N72" s="83"/>
      <x:c r="O72" s="77"/>
      <x:c r="P72" s="77"/>
      <x:c r="Q72" s="77"/>
    </x:row>
    <x:row r="73">
      <x:c r="A73" s="83"/>
      <x:c r="B73" s="77"/>
      <x:c r="C73" s="77"/>
      <x:c r="D73" s="77"/>
      <x:c r="E73" s="77"/>
      <x:c r="F73" s="77"/>
      <x:c r="G73" s="77"/>
      <x:c r="H73" s="77"/>
      <x:c r="I73" s="77"/>
      <x:c r="J73" s="80"/>
      <x:c r="K73" s="77"/>
      <x:c r="L73" s="83"/>
      <x:c r="M73" s="83"/>
      <x:c r="N73" s="83"/>
      <x:c r="O73" s="77"/>
      <x:c r="P73" s="77"/>
      <x:c r="Q73" s="77"/>
    </x:row>
    <x:row r="74">
      <x:c r="A74" s="83"/>
      <x:c r="B74" s="77"/>
      <x:c r="C74" s="77"/>
      <x:c r="D74" s="77"/>
      <x:c r="E74" s="77"/>
      <x:c r="F74" s="77"/>
      <x:c r="G74" s="77"/>
      <x:c r="H74" s="77"/>
      <x:c r="I74" s="77"/>
      <x:c r="J74" s="80"/>
      <x:c r="K74" s="77"/>
      <x:c r="L74" s="83"/>
      <x:c r="M74" s="83"/>
      <x:c r="N74" s="83"/>
      <x:c r="O74" s="77"/>
      <x:c r="P74" s="77"/>
      <x:c r="Q74" s="77"/>
    </x:row>
    <x:row r="75">
      <x:c r="A75" s="83"/>
      <x:c r="B75" s="77"/>
      <x:c r="C75" s="77"/>
      <x:c r="D75" s="77"/>
      <x:c r="E75" s="77"/>
      <x:c r="F75" s="77"/>
      <x:c r="G75" s="77"/>
      <x:c r="H75" s="77"/>
      <x:c r="I75" s="77"/>
      <x:c r="J75" s="80"/>
      <x:c r="K75" s="77"/>
      <x:c r="L75" s="83"/>
      <x:c r="M75" s="83"/>
      <x:c r="N75" s="83"/>
      <x:c r="O75" s="77"/>
      <x:c r="P75" s="77"/>
      <x:c r="Q75" s="77"/>
    </x:row>
    <x:row r="76">
      <x:c r="A76" s="83"/>
      <x:c r="B76" s="77"/>
      <x:c r="C76" s="77"/>
      <x:c r="D76" s="77"/>
      <x:c r="E76" s="77"/>
      <x:c r="F76" s="77"/>
      <x:c r="G76" s="77"/>
      <x:c r="H76" s="77"/>
      <x:c r="I76" s="77"/>
      <x:c r="J76" s="80"/>
      <x:c r="K76" s="77"/>
      <x:c r="L76" s="83"/>
      <x:c r="M76" s="83"/>
      <x:c r="N76" s="83"/>
      <x:c r="O76" s="77"/>
      <x:c r="P76" s="77"/>
      <x:c r="Q76" s="77"/>
    </x:row>
    <x:row r="77">
      <x:c r="A77" s="83"/>
      <x:c r="B77" s="77"/>
      <x:c r="C77" s="77"/>
      <x:c r="D77" s="77"/>
      <x:c r="E77" s="77"/>
      <x:c r="F77" s="77"/>
      <x:c r="G77" s="77"/>
      <x:c r="H77" s="77"/>
      <x:c r="I77" s="77"/>
      <x:c r="J77" s="80"/>
      <x:c r="K77" s="77"/>
      <x:c r="L77" s="83"/>
      <x:c r="M77" s="83"/>
      <x:c r="N77" s="83"/>
      <x:c r="O77" s="77"/>
      <x:c r="P77" s="77"/>
      <x:c r="Q77" s="77"/>
    </x:row>
    <x:row r="78">
      <x:c r="A78" s="83"/>
      <x:c r="B78" s="77"/>
      <x:c r="C78" s="77"/>
      <x:c r="D78" s="77"/>
      <x:c r="E78" s="77"/>
      <x:c r="F78" s="77"/>
      <x:c r="G78" s="77"/>
      <x:c r="H78" s="77"/>
      <x:c r="I78" s="77"/>
      <x:c r="J78" s="80"/>
      <x:c r="K78" s="77"/>
      <x:c r="L78" s="83"/>
      <x:c r="M78" s="83"/>
      <x:c r="N78" s="83"/>
      <x:c r="O78" s="77"/>
      <x:c r="P78" s="77"/>
      <x:c r="Q78" s="77"/>
    </x:row>
    <x:row r="79">
      <x:c r="A79" s="83"/>
      <x:c r="B79" s="77"/>
      <x:c r="C79" s="77"/>
      <x:c r="D79" s="77"/>
      <x:c r="E79" s="77"/>
      <x:c r="F79" s="77"/>
      <x:c r="G79" s="77"/>
      <x:c r="H79" s="77"/>
      <x:c r="I79" s="77"/>
      <x:c r="J79" s="80"/>
      <x:c r="K79" s="77"/>
      <x:c r="L79" s="83"/>
      <x:c r="M79" s="83"/>
      <x:c r="N79" s="83"/>
      <x:c r="O79" s="77"/>
      <x:c r="P79" s="77"/>
      <x:c r="Q79" s="77"/>
    </x:row>
    <x:row r="80">
      <x:c r="A80" s="83"/>
      <x:c r="B80" s="77"/>
      <x:c r="C80" s="77"/>
      <x:c r="D80" s="77"/>
      <x:c r="E80" s="77"/>
      <x:c r="F80" s="77"/>
      <x:c r="G80" s="77"/>
      <x:c r="H80" s="77"/>
      <x:c r="I80" s="77"/>
      <x:c r="J80" s="80"/>
      <x:c r="K80" s="77"/>
      <x:c r="L80" s="83"/>
      <x:c r="M80" s="83"/>
      <x:c r="N80" s="83"/>
      <x:c r="O80" s="77"/>
      <x:c r="P80" s="77"/>
      <x:c r="Q80" s="77"/>
    </x:row>
    <x:row r="81">
      <x:c r="A81" s="83"/>
      <x:c r="B81" s="77"/>
      <x:c r="C81" s="77"/>
      <x:c r="D81" s="77"/>
      <x:c r="E81" s="77"/>
      <x:c r="F81" s="77"/>
      <x:c r="G81" s="77"/>
      <x:c r="H81" s="77"/>
      <x:c r="I81" s="77"/>
      <x:c r="J81" s="80"/>
      <x:c r="K81" s="77"/>
      <x:c r="L81" s="83"/>
      <x:c r="M81" s="83"/>
      <x:c r="N81" s="83"/>
      <x:c r="O81" s="77"/>
      <x:c r="P81" s="77"/>
      <x:c r="Q81" s="77"/>
    </x:row>
    <x:row r="82">
      <x:c r="A82" s="83"/>
      <x:c r="B82" s="77"/>
      <x:c r="C82" s="77"/>
      <x:c r="D82" s="77"/>
      <x:c r="E82" s="77"/>
      <x:c r="F82" s="77"/>
      <x:c r="G82" s="77"/>
      <x:c r="H82" s="77"/>
      <x:c r="I82" s="77"/>
      <x:c r="J82" s="80"/>
      <x:c r="K82" s="77"/>
      <x:c r="L82" s="83"/>
      <x:c r="M82" s="83"/>
      <x:c r="N82" s="83"/>
      <x:c r="O82" s="77"/>
      <x:c r="P82" s="77"/>
      <x:c r="Q82" s="77"/>
    </x:row>
    <x:row r="83">
      <x:c r="A83" s="83"/>
      <x:c r="B83" s="77"/>
      <x:c r="C83" s="77"/>
      <x:c r="D83" s="77"/>
      <x:c r="E83" s="77"/>
      <x:c r="F83" s="77"/>
      <x:c r="G83" s="77"/>
      <x:c r="H83" s="77"/>
      <x:c r="I83" s="77"/>
      <x:c r="J83" s="80"/>
      <x:c r="K83" s="77"/>
      <x:c r="L83" s="83"/>
      <x:c r="M83" s="83"/>
      <x:c r="N83" s="83"/>
      <x:c r="O83" s="77"/>
      <x:c r="P83" s="77"/>
      <x:c r="Q83" s="77"/>
    </x:row>
    <x:row r="84">
      <x:c r="A84" s="83"/>
      <x:c r="B84" s="77"/>
      <x:c r="C84" s="77"/>
      <x:c r="D84" s="77"/>
      <x:c r="E84" s="77"/>
      <x:c r="F84" s="77"/>
      <x:c r="G84" s="77"/>
      <x:c r="H84" s="77"/>
      <x:c r="I84" s="77"/>
      <x:c r="J84" s="80"/>
      <x:c r="K84" s="77"/>
      <x:c r="L84" s="83"/>
      <x:c r="M84" s="83"/>
      <x:c r="N84" s="83"/>
      <x:c r="O84" s="77"/>
      <x:c r="P84" s="77"/>
      <x:c r="Q84" s="77"/>
    </x:row>
    <x:row r="85">
      <x:c r="A85" s="83"/>
      <x:c r="B85" s="77"/>
      <x:c r="C85" s="77"/>
      <x:c r="D85" s="77"/>
      <x:c r="E85" s="77"/>
      <x:c r="F85" s="77"/>
      <x:c r="G85" s="77"/>
      <x:c r="H85" s="77"/>
      <x:c r="I85" s="77"/>
      <x:c r="J85" s="80"/>
      <x:c r="K85" s="77"/>
      <x:c r="L85" s="83"/>
      <x:c r="M85" s="83"/>
      <x:c r="N85" s="83"/>
      <x:c r="O85" s="77"/>
      <x:c r="P85" s="77"/>
      <x:c r="Q85" s="77"/>
    </x:row>
    <x:row r="86">
      <x:c r="A86" s="83"/>
      <x:c r="B86" s="77"/>
      <x:c r="C86" s="77"/>
      <x:c r="D86" s="77"/>
      <x:c r="E86" s="77"/>
      <x:c r="F86" s="77"/>
      <x:c r="G86" s="77"/>
      <x:c r="H86" s="77"/>
      <x:c r="I86" s="77"/>
      <x:c r="J86" s="80"/>
      <x:c r="K86" s="77"/>
      <x:c r="L86" s="83"/>
      <x:c r="M86" s="83"/>
      <x:c r="N86" s="83"/>
      <x:c r="O86" s="77"/>
      <x:c r="P86" s="77"/>
      <x:c r="Q86" s="77"/>
    </x:row>
    <x:row r="87">
      <x:c r="A87" s="83"/>
      <x:c r="B87" s="77"/>
      <x:c r="C87" s="77"/>
      <x:c r="D87" s="77"/>
      <x:c r="E87" s="77"/>
      <x:c r="F87" s="77"/>
      <x:c r="G87" s="77"/>
      <x:c r="H87" s="77"/>
      <x:c r="I87" s="77"/>
      <x:c r="J87" s="80"/>
      <x:c r="K87" s="77"/>
      <x:c r="L87" s="83"/>
      <x:c r="M87" s="83"/>
      <x:c r="N87" s="83"/>
      <x:c r="O87" s="77"/>
      <x:c r="P87" s="77"/>
      <x:c r="Q87" s="77"/>
    </x:row>
    <x:row r="88">
      <x:c r="A88" s="83"/>
      <x:c r="B88" s="77"/>
      <x:c r="C88" s="77"/>
      <x:c r="D88" s="77"/>
      <x:c r="E88" s="77"/>
      <x:c r="F88" s="77"/>
      <x:c r="G88" s="77"/>
      <x:c r="H88" s="77"/>
      <x:c r="I88" s="77"/>
      <x:c r="J88" s="80"/>
      <x:c r="K88" s="77"/>
      <x:c r="L88" s="83"/>
      <x:c r="M88" s="83"/>
      <x:c r="N88" s="83"/>
      <x:c r="O88" s="77"/>
      <x:c r="P88" s="77"/>
      <x:c r="Q88" s="77"/>
    </x:row>
    <x:row r="89">
      <x:c r="A89" s="83"/>
      <x:c r="B89" s="77"/>
      <x:c r="C89" s="77"/>
      <x:c r="D89" s="77"/>
      <x:c r="E89" s="77"/>
      <x:c r="F89" s="77"/>
      <x:c r="G89" s="77"/>
      <x:c r="H89" s="77"/>
      <x:c r="I89" s="77"/>
      <x:c r="J89" s="80"/>
      <x:c r="K89" s="77"/>
      <x:c r="L89" s="83"/>
      <x:c r="M89" s="83"/>
      <x:c r="N89" s="83"/>
      <x:c r="O89" s="77"/>
      <x:c r="P89" s="77"/>
      <x:c r="Q89" s="77"/>
    </x:row>
    <x:row r="90">
      <x:c r="A90" s="83"/>
      <x:c r="B90" s="77"/>
      <x:c r="C90" s="77"/>
      <x:c r="D90" s="77"/>
      <x:c r="E90" s="77"/>
      <x:c r="F90" s="77"/>
      <x:c r="G90" s="77"/>
      <x:c r="H90" s="77"/>
      <x:c r="I90" s="77"/>
      <x:c r="J90" s="80"/>
      <x:c r="K90" s="77"/>
      <x:c r="L90" s="83"/>
      <x:c r="M90" s="83"/>
      <x:c r="N90" s="83"/>
      <x:c r="O90" s="77"/>
      <x:c r="P90" s="77"/>
      <x:c r="Q90" s="77"/>
    </x:row>
    <x:row r="91">
      <x:c r="A91" s="83"/>
      <x:c r="B91" s="77"/>
      <x:c r="C91" s="77"/>
      <x:c r="D91" s="77"/>
      <x:c r="E91" s="77"/>
      <x:c r="F91" s="77"/>
      <x:c r="G91" s="77"/>
      <x:c r="H91" s="77"/>
      <x:c r="I91" s="77"/>
      <x:c r="J91" s="80"/>
      <x:c r="K91" s="77"/>
      <x:c r="L91" s="83"/>
      <x:c r="M91" s="83"/>
      <x:c r="N91" s="83"/>
      <x:c r="O91" s="77"/>
      <x:c r="P91" s="77"/>
      <x:c r="Q91" s="77"/>
    </x:row>
    <x:row r="92">
      <x:c r="A92" s="83"/>
      <x:c r="B92" s="77"/>
      <x:c r="C92" s="77"/>
      <x:c r="D92" s="77"/>
      <x:c r="E92" s="77"/>
      <x:c r="F92" s="77"/>
      <x:c r="G92" s="77"/>
      <x:c r="H92" s="77"/>
      <x:c r="I92" s="77"/>
      <x:c r="J92" s="80"/>
      <x:c r="K92" s="77"/>
      <x:c r="L92" s="83"/>
      <x:c r="M92" s="83"/>
      <x:c r="N92" s="83"/>
      <x:c r="O92" s="77"/>
      <x:c r="P92" s="77"/>
      <x:c r="Q92" s="77"/>
    </x:row>
    <x:row r="93">
      <x:c r="A93" s="83"/>
      <x:c r="B93" s="77"/>
      <x:c r="C93" s="77"/>
      <x:c r="D93" s="77"/>
      <x:c r="E93" s="77"/>
      <x:c r="F93" s="77"/>
      <x:c r="G93" s="77"/>
      <x:c r="H93" s="77"/>
      <x:c r="I93" s="77"/>
      <x:c r="J93" s="80"/>
      <x:c r="K93" s="77"/>
      <x:c r="L93" s="83"/>
      <x:c r="M93" s="83"/>
      <x:c r="N93" s="83"/>
      <x:c r="O93" s="77"/>
      <x:c r="P93" s="77"/>
      <x:c r="Q93" s="77"/>
    </x:row>
    <x:row r="94">
      <x:c r="A94" s="83"/>
      <x:c r="B94" s="77"/>
      <x:c r="C94" s="77"/>
      <x:c r="D94" s="77"/>
      <x:c r="E94" s="77"/>
      <x:c r="F94" s="77"/>
      <x:c r="G94" s="77"/>
      <x:c r="H94" s="77"/>
      <x:c r="I94" s="77"/>
      <x:c r="J94" s="80"/>
      <x:c r="K94" s="77"/>
      <x:c r="L94" s="83"/>
      <x:c r="M94" s="83"/>
      <x:c r="N94" s="83"/>
      <x:c r="O94" s="77"/>
      <x:c r="P94" s="77"/>
      <x:c r="Q94" s="77"/>
    </x:row>
    <x:row r="95">
      <x:c r="A95" s="83"/>
      <x:c r="B95" s="77"/>
      <x:c r="C95" s="77"/>
      <x:c r="D95" s="77"/>
      <x:c r="E95" s="77"/>
      <x:c r="F95" s="77"/>
      <x:c r="G95" s="77"/>
      <x:c r="H95" s="77"/>
      <x:c r="I95" s="77"/>
      <x:c r="J95" s="80"/>
      <x:c r="K95" s="77"/>
      <x:c r="L95" s="83"/>
      <x:c r="M95" s="83"/>
      <x:c r="N95" s="83"/>
      <x:c r="O95" s="77"/>
      <x:c r="P95" s="77"/>
      <x:c r="Q95" s="77"/>
    </x:row>
    <x:row r="96">
      <x:c r="A96" s="83"/>
      <x:c r="B96" s="77"/>
      <x:c r="C96" s="77"/>
      <x:c r="D96" s="77"/>
      <x:c r="E96" s="77"/>
      <x:c r="F96" s="77"/>
      <x:c r="G96" s="77"/>
      <x:c r="H96" s="77"/>
      <x:c r="I96" s="77"/>
      <x:c r="J96" s="80"/>
      <x:c r="K96" s="77"/>
      <x:c r="L96" s="83"/>
      <x:c r="M96" s="83"/>
      <x:c r="N96" s="83"/>
      <x:c r="O96" s="77"/>
      <x:c r="P96" s="77"/>
      <x:c r="Q96" s="77"/>
    </x:row>
    <x:row r="97">
      <x:c r="A97" s="83"/>
      <x:c r="B97" s="77"/>
      <x:c r="C97" s="77"/>
      <x:c r="D97" s="77"/>
      <x:c r="E97" s="77"/>
      <x:c r="F97" s="77"/>
      <x:c r="G97" s="77"/>
      <x:c r="H97" s="77"/>
      <x:c r="I97" s="77"/>
      <x:c r="J97" s="80"/>
      <x:c r="K97" s="77"/>
      <x:c r="L97" s="83"/>
      <x:c r="M97" s="83"/>
      <x:c r="N97" s="83"/>
      <x:c r="O97" s="77"/>
      <x:c r="P97" s="77"/>
      <x:c r="Q97" s="77"/>
    </x:row>
    <x:row r="98">
      <x:c r="A98" s="83"/>
      <x:c r="B98" s="77"/>
      <x:c r="C98" s="77"/>
      <x:c r="D98" s="77"/>
      <x:c r="E98" s="77"/>
      <x:c r="F98" s="77"/>
      <x:c r="G98" s="77"/>
      <x:c r="H98" s="77"/>
      <x:c r="I98" s="77"/>
      <x:c r="J98" s="80"/>
      <x:c r="K98" s="77"/>
      <x:c r="L98" s="83"/>
      <x:c r="M98" s="83"/>
      <x:c r="N98" s="83"/>
      <x:c r="O98" s="77"/>
      <x:c r="P98" s="77"/>
      <x:c r="Q98" s="77"/>
    </x:row>
    <x:row r="99">
      <x:c r="A99" s="83"/>
      <x:c r="B99" s="77"/>
      <x:c r="C99" s="77"/>
      <x:c r="D99" s="77"/>
      <x:c r="E99" s="77"/>
      <x:c r="F99" s="77"/>
      <x:c r="G99" s="77"/>
      <x:c r="H99" s="77"/>
      <x:c r="I99" s="77"/>
      <x:c r="J99" s="80"/>
      <x:c r="K99" s="77"/>
      <x:c r="L99" s="83"/>
      <x:c r="M99" s="83"/>
      <x:c r="N99" s="83"/>
      <x:c r="O99" s="77"/>
      <x:c r="P99" s="77"/>
      <x:c r="Q99" s="77"/>
    </x:row>
    <x:row r="100">
      <x:c r="A100" s="83"/>
      <x:c r="B100" s="77"/>
      <x:c r="C100" s="77"/>
      <x:c r="D100" s="77"/>
      <x:c r="E100" s="77"/>
      <x:c r="F100" s="77"/>
      <x:c r="G100" s="77"/>
      <x:c r="H100" s="77"/>
      <x:c r="I100" s="77"/>
      <x:c r="J100" s="80"/>
      <x:c r="K100" s="77"/>
      <x:c r="L100" s="83"/>
      <x:c r="M100" s="83"/>
      <x:c r="N100" s="83"/>
      <x:c r="O100" s="77"/>
      <x:c r="P100" s="77"/>
      <x:c r="Q100" s="77"/>
    </x:row>
    <x:row r="101">
      <x:c r="A101" s="83"/>
      <x:c r="B101" s="77"/>
      <x:c r="C101" s="77"/>
      <x:c r="D101" s="77"/>
      <x:c r="E101" s="77"/>
      <x:c r="F101" s="77"/>
      <x:c r="G101" s="77"/>
      <x:c r="H101" s="77"/>
      <x:c r="I101" s="77"/>
      <x:c r="J101" s="80"/>
      <x:c r="K101" s="77"/>
      <x:c r="L101" s="83"/>
      <x:c r="M101" s="83"/>
      <x:c r="N101" s="83"/>
      <x:c r="O101" s="77"/>
      <x:c r="P101" s="77"/>
      <x:c r="Q101" s="77"/>
    </x:row>
    <x:row r="102">
      <x:c r="A102" s="83"/>
      <x:c r="B102" s="77"/>
      <x:c r="C102" s="77"/>
      <x:c r="D102" s="77"/>
      <x:c r="E102" s="77"/>
      <x:c r="F102" s="77"/>
      <x:c r="G102" s="77"/>
      <x:c r="H102" s="77"/>
      <x:c r="I102" s="77"/>
      <x:c r="J102" s="80"/>
      <x:c r="K102" s="77"/>
      <x:c r="L102" s="83"/>
      <x:c r="M102" s="83"/>
      <x:c r="N102" s="83"/>
      <x:c r="O102" s="77"/>
      <x:c r="P102" s="77"/>
      <x:c r="Q102" s="77"/>
    </x:row>
    <x:row r="103">
      <x:c r="A103" s="83"/>
      <x:c r="B103" s="77"/>
      <x:c r="C103" s="77"/>
      <x:c r="D103" s="77"/>
      <x:c r="E103" s="77"/>
      <x:c r="F103" s="77"/>
      <x:c r="G103" s="77"/>
      <x:c r="H103" s="77"/>
      <x:c r="I103" s="77"/>
      <x:c r="J103" s="80"/>
      <x:c r="K103" s="77"/>
      <x:c r="L103" s="83"/>
      <x:c r="M103" s="83"/>
      <x:c r="N103" s="83"/>
      <x:c r="O103" s="77"/>
      <x:c r="P103" s="77"/>
      <x:c r="Q103" s="77"/>
    </x:row>
    <x:row r="104">
      <x:c r="A104" s="83"/>
      <x:c r="B104" s="77"/>
      <x:c r="C104" s="77"/>
      <x:c r="D104" s="77"/>
      <x:c r="E104" s="77"/>
      <x:c r="F104" s="77"/>
      <x:c r="G104" s="77"/>
      <x:c r="H104" s="77"/>
      <x:c r="I104" s="77"/>
      <x:c r="J104" s="80"/>
      <x:c r="K104" s="77"/>
      <x:c r="L104" s="83"/>
      <x:c r="M104" s="83"/>
      <x:c r="N104" s="83"/>
      <x:c r="O104" s="77"/>
      <x:c r="P104" s="77"/>
      <x:c r="Q104" s="77"/>
    </x:row>
    <x:row r="105">
      <x:c r="A105" s="83"/>
      <x:c r="B105" s="77"/>
      <x:c r="C105" s="77"/>
      <x:c r="D105" s="77"/>
      <x:c r="E105" s="77"/>
      <x:c r="F105" s="77"/>
      <x:c r="G105" s="77"/>
      <x:c r="H105" s="77"/>
      <x:c r="I105" s="77"/>
      <x:c r="J105" s="80"/>
      <x:c r="K105" s="77"/>
      <x:c r="L105" s="83"/>
      <x:c r="M105" s="83"/>
      <x:c r="N105" s="83"/>
      <x:c r="O105" s="77"/>
      <x:c r="P105" s="77"/>
      <x:c r="Q105" s="77"/>
    </x:row>
    <x:row r="106">
      <x:c r="A106" s="83"/>
      <x:c r="B106" s="77"/>
      <x:c r="C106" s="77"/>
      <x:c r="D106" s="77"/>
      <x:c r="E106" s="77"/>
      <x:c r="F106" s="77"/>
      <x:c r="G106" s="77"/>
      <x:c r="H106" s="77"/>
      <x:c r="I106" s="77"/>
      <x:c r="J106" s="80"/>
      <x:c r="K106" s="77"/>
      <x:c r="L106" s="83"/>
      <x:c r="M106" s="83"/>
      <x:c r="N106" s="83"/>
      <x:c r="O106" s="77"/>
      <x:c r="P106" s="77"/>
      <x:c r="Q106" s="77"/>
    </x:row>
    <x:row r="107">
      <x:c r="A107" s="83"/>
      <x:c r="B107" s="77"/>
      <x:c r="C107" s="77"/>
      <x:c r="D107" s="77"/>
      <x:c r="E107" s="77"/>
      <x:c r="F107" s="77"/>
      <x:c r="G107" s="77"/>
      <x:c r="H107" s="77"/>
      <x:c r="I107" s="77"/>
      <x:c r="J107" s="80"/>
      <x:c r="K107" s="77"/>
      <x:c r="L107" s="83"/>
      <x:c r="M107" s="83"/>
      <x:c r="N107" s="83"/>
      <x:c r="O107" s="77"/>
      <x:c r="P107" s="77"/>
      <x:c r="Q107" s="77"/>
    </x:row>
    <x:row r="108">
      <x:c r="A108" s="83"/>
      <x:c r="B108" s="77"/>
      <x:c r="C108" s="77"/>
      <x:c r="D108" s="77"/>
      <x:c r="E108" s="77"/>
      <x:c r="F108" s="77"/>
      <x:c r="G108" s="77"/>
      <x:c r="H108" s="77"/>
      <x:c r="I108" s="77"/>
      <x:c r="J108" s="80"/>
      <x:c r="K108" s="77"/>
      <x:c r="L108" s="83"/>
      <x:c r="M108" s="83"/>
      <x:c r="N108" s="83"/>
      <x:c r="O108" s="77"/>
      <x:c r="P108" s="77"/>
      <x:c r="Q108" s="77"/>
    </x:row>
    <x:row r="109">
      <x:c r="A109" s="83"/>
      <x:c r="B109" s="77"/>
      <x:c r="C109" s="77"/>
      <x:c r="D109" s="77"/>
      <x:c r="E109" s="77"/>
      <x:c r="F109" s="77"/>
      <x:c r="G109" s="77"/>
      <x:c r="H109" s="77"/>
      <x:c r="I109" s="77"/>
      <x:c r="J109" s="80"/>
      <x:c r="K109" s="77"/>
      <x:c r="L109" s="83"/>
      <x:c r="M109" s="83"/>
      <x:c r="N109" s="83"/>
      <x:c r="O109" s="77"/>
      <x:c r="P109" s="77"/>
      <x:c r="Q109" s="77"/>
    </x:row>
    <x:row r="110">
      <x:c r="A110" s="83"/>
      <x:c r="B110" s="77"/>
      <x:c r="C110" s="77"/>
      <x:c r="D110" s="77"/>
      <x:c r="E110" s="77"/>
      <x:c r="F110" s="77"/>
      <x:c r="G110" s="77"/>
      <x:c r="H110" s="77"/>
      <x:c r="I110" s="77"/>
      <x:c r="J110" s="80"/>
      <x:c r="K110" s="77"/>
      <x:c r="L110" s="83"/>
      <x:c r="M110" s="83"/>
      <x:c r="N110" s="83"/>
      <x:c r="O110" s="77"/>
      <x:c r="P110" s="77"/>
      <x:c r="Q110" s="77"/>
    </x:row>
    <x:row r="111">
      <x:c r="A111" s="83"/>
      <x:c r="B111" s="77"/>
      <x:c r="C111" s="77"/>
      <x:c r="D111" s="77"/>
      <x:c r="E111" s="77"/>
      <x:c r="F111" s="77"/>
      <x:c r="G111" s="77"/>
      <x:c r="H111" s="77"/>
      <x:c r="I111" s="77"/>
      <x:c r="J111" s="80"/>
      <x:c r="K111" s="77"/>
      <x:c r="L111" s="83"/>
      <x:c r="M111" s="83"/>
      <x:c r="N111" s="83"/>
      <x:c r="O111" s="77"/>
      <x:c r="P111" s="77"/>
      <x:c r="Q111" s="77"/>
    </x:row>
    <x:row r="112">
      <x:c r="A112" s="83"/>
      <x:c r="B112" s="77"/>
      <x:c r="C112" s="77"/>
      <x:c r="D112" s="77"/>
      <x:c r="E112" s="77"/>
      <x:c r="F112" s="77"/>
      <x:c r="G112" s="77"/>
      <x:c r="H112" s="77"/>
      <x:c r="I112" s="77"/>
      <x:c r="J112" s="80"/>
      <x:c r="K112" s="77"/>
      <x:c r="L112" s="83"/>
      <x:c r="M112" s="83"/>
      <x:c r="N112" s="83"/>
      <x:c r="O112" s="77"/>
      <x:c r="P112" s="77"/>
      <x:c r="Q112" s="77"/>
    </x:row>
    <x:row r="113">
      <x:c r="A113" s="83"/>
      <x:c r="B113" s="77"/>
      <x:c r="C113" s="77"/>
      <x:c r="D113" s="77"/>
      <x:c r="E113" s="77"/>
      <x:c r="F113" s="77"/>
      <x:c r="G113" s="77"/>
      <x:c r="H113" s="77"/>
      <x:c r="I113" s="77"/>
      <x:c r="J113" s="80"/>
      <x:c r="K113" s="77"/>
      <x:c r="L113" s="83"/>
      <x:c r="M113" s="83"/>
      <x:c r="N113" s="83"/>
      <x:c r="O113" s="77"/>
      <x:c r="P113" s="77"/>
      <x:c r="Q113" s="77"/>
    </x:row>
    <x:row r="114">
      <x:c r="A114" s="83"/>
      <x:c r="B114" s="77"/>
      <x:c r="C114" s="77"/>
      <x:c r="D114" s="77"/>
      <x:c r="E114" s="77"/>
      <x:c r="F114" s="77"/>
      <x:c r="G114" s="77"/>
      <x:c r="H114" s="77"/>
      <x:c r="I114" s="77"/>
      <x:c r="J114" s="80"/>
      <x:c r="K114" s="77"/>
      <x:c r="L114" s="83"/>
      <x:c r="M114" s="83"/>
      <x:c r="N114" s="83"/>
      <x:c r="O114" s="77"/>
      <x:c r="P114" s="77"/>
      <x:c r="Q114" s="77"/>
    </x:row>
    <x:row r="115">
      <x:c r="A115" s="83"/>
      <x:c r="B115" s="77"/>
      <x:c r="C115" s="77"/>
      <x:c r="D115" s="77"/>
      <x:c r="E115" s="77"/>
      <x:c r="F115" s="77"/>
      <x:c r="G115" s="77"/>
      <x:c r="H115" s="77"/>
      <x:c r="I115" s="77"/>
      <x:c r="J115" s="80"/>
      <x:c r="K115" s="77"/>
      <x:c r="L115" s="83"/>
      <x:c r="M115" s="83"/>
      <x:c r="N115" s="83"/>
      <x:c r="O115" s="77"/>
      <x:c r="P115" s="77"/>
      <x:c r="Q115" s="77"/>
    </x:row>
    <x:row r="116">
      <x:c r="A116" s="83"/>
      <x:c r="B116" s="77"/>
      <x:c r="C116" s="77"/>
      <x:c r="D116" s="77"/>
      <x:c r="E116" s="77"/>
      <x:c r="F116" s="77"/>
      <x:c r="G116" s="77"/>
      <x:c r="H116" s="77"/>
      <x:c r="I116" s="77"/>
      <x:c r="J116" s="80"/>
      <x:c r="K116" s="77"/>
      <x:c r="L116" s="83"/>
      <x:c r="M116" s="83"/>
      <x:c r="N116" s="83"/>
      <x:c r="O116" s="77"/>
      <x:c r="P116" s="77"/>
      <x:c r="Q116" s="77"/>
    </x:row>
    <x:row r="117">
      <x:c r="A117" s="83"/>
      <x:c r="B117" s="77"/>
      <x:c r="C117" s="77"/>
      <x:c r="D117" s="77"/>
      <x:c r="E117" s="77"/>
      <x:c r="F117" s="77"/>
      <x:c r="G117" s="77"/>
      <x:c r="H117" s="77"/>
      <x:c r="I117" s="77"/>
      <x:c r="J117" s="80"/>
      <x:c r="K117" s="77"/>
      <x:c r="L117" s="83"/>
      <x:c r="M117" s="83"/>
      <x:c r="N117" s="83"/>
      <x:c r="O117" s="77"/>
      <x:c r="P117" s="77"/>
      <x:c r="Q117" s="77"/>
    </x:row>
    <x:row r="118">
      <x:c r="A118" s="83"/>
      <x:c r="B118" s="77"/>
      <x:c r="C118" s="77"/>
      <x:c r="D118" s="77"/>
      <x:c r="E118" s="77"/>
      <x:c r="F118" s="77"/>
      <x:c r="G118" s="77"/>
      <x:c r="H118" s="77"/>
      <x:c r="I118" s="77"/>
      <x:c r="J118" s="80"/>
      <x:c r="K118" s="77"/>
      <x:c r="L118" s="83"/>
      <x:c r="M118" s="83"/>
      <x:c r="N118" s="83"/>
      <x:c r="O118" s="77"/>
      <x:c r="P118" s="77"/>
      <x:c r="Q118" s="77"/>
    </x:row>
    <x:row r="119">
      <x:c r="A119" s="83"/>
      <x:c r="B119" s="77"/>
      <x:c r="C119" s="77"/>
      <x:c r="D119" s="77"/>
      <x:c r="E119" s="77"/>
      <x:c r="F119" s="77"/>
      <x:c r="G119" s="77"/>
      <x:c r="H119" s="77"/>
      <x:c r="I119" s="77"/>
      <x:c r="J119" s="80"/>
      <x:c r="K119" s="77"/>
      <x:c r="L119" s="83"/>
      <x:c r="M119" s="83"/>
      <x:c r="N119" s="83"/>
      <x:c r="O119" s="77"/>
      <x:c r="P119" s="77"/>
      <x:c r="Q119" s="77"/>
    </x:row>
    <x:row r="120">
      <x:c r="A120" s="83"/>
      <x:c r="B120" s="77"/>
      <x:c r="C120" s="77"/>
      <x:c r="D120" s="77"/>
      <x:c r="E120" s="77"/>
      <x:c r="F120" s="77"/>
      <x:c r="G120" s="77"/>
      <x:c r="H120" s="77"/>
      <x:c r="I120" s="77"/>
      <x:c r="J120" s="80"/>
      <x:c r="K120" s="77"/>
      <x:c r="L120" s="83"/>
      <x:c r="M120" s="83"/>
      <x:c r="N120" s="83"/>
      <x:c r="O120" s="77"/>
      <x:c r="P120" s="77"/>
      <x:c r="Q120" s="77"/>
    </x:row>
    <x:row r="121">
      <x:c r="A121" s="83"/>
      <x:c r="B121" s="77"/>
      <x:c r="C121" s="77"/>
      <x:c r="D121" s="77"/>
      <x:c r="E121" s="77"/>
      <x:c r="F121" s="77"/>
      <x:c r="G121" s="77"/>
      <x:c r="H121" s="77"/>
      <x:c r="I121" s="77"/>
      <x:c r="J121" s="80"/>
      <x:c r="K121" s="77"/>
      <x:c r="L121" s="83"/>
      <x:c r="M121" s="83"/>
      <x:c r="N121" s="83"/>
      <x:c r="O121" s="77"/>
      <x:c r="P121" s="77"/>
      <x:c r="Q121" s="77"/>
    </x:row>
    <x:row r="122">
      <x:c r="A122" s="83"/>
      <x:c r="B122" s="77"/>
      <x:c r="C122" s="77"/>
      <x:c r="D122" s="77"/>
      <x:c r="E122" s="77"/>
      <x:c r="F122" s="77"/>
      <x:c r="G122" s="77"/>
      <x:c r="H122" s="77"/>
      <x:c r="I122" s="77"/>
      <x:c r="J122" s="80"/>
      <x:c r="K122" s="77"/>
      <x:c r="L122" s="83"/>
      <x:c r="M122" s="83"/>
      <x:c r="N122" s="83"/>
      <x:c r="O122" s="77"/>
      <x:c r="P122" s="77"/>
      <x:c r="Q122" s="77"/>
    </x:row>
    <x:row r="123">
      <x:c r="A123" s="83"/>
      <x:c r="B123" s="77"/>
      <x:c r="C123" s="77"/>
      <x:c r="D123" s="77"/>
      <x:c r="E123" s="77"/>
      <x:c r="F123" s="77"/>
      <x:c r="G123" s="77"/>
      <x:c r="H123" s="77"/>
      <x:c r="I123" s="77"/>
      <x:c r="J123" s="80"/>
      <x:c r="K123" s="77"/>
      <x:c r="L123" s="83"/>
      <x:c r="M123" s="83"/>
      <x:c r="N123" s="83"/>
      <x:c r="O123" s="77"/>
      <x:c r="P123" s="77"/>
      <x:c r="Q123" s="77"/>
    </x:row>
    <x:row r="124">
      <x:c r="A124" s="83"/>
      <x:c r="B124" s="77"/>
      <x:c r="C124" s="77"/>
      <x:c r="D124" s="77"/>
      <x:c r="E124" s="77"/>
      <x:c r="F124" s="77"/>
      <x:c r="G124" s="77"/>
      <x:c r="H124" s="77"/>
      <x:c r="I124" s="77"/>
      <x:c r="J124" s="80"/>
      <x:c r="K124" s="77"/>
      <x:c r="L124" s="83"/>
      <x:c r="M124" s="83"/>
      <x:c r="N124" s="83"/>
      <x:c r="O124" s="77"/>
      <x:c r="P124" s="77"/>
      <x:c r="Q124" s="77"/>
    </x:row>
    <x:row r="125">
      <x:c r="A125" s="83"/>
      <x:c r="B125" s="77"/>
      <x:c r="C125" s="77"/>
      <x:c r="D125" s="77"/>
      <x:c r="E125" s="77"/>
      <x:c r="F125" s="77"/>
      <x:c r="G125" s="77"/>
      <x:c r="H125" s="77"/>
      <x:c r="I125" s="77"/>
      <x:c r="J125" s="80"/>
      <x:c r="K125" s="77"/>
      <x:c r="L125" s="83"/>
      <x:c r="M125" s="83"/>
      <x:c r="N125" s="83"/>
      <x:c r="O125" s="77"/>
      <x:c r="P125" s="77"/>
      <x:c r="Q125" s="77"/>
    </x:row>
    <x:row r="126">
      <x:c r="A126" s="83"/>
      <x:c r="B126" s="77"/>
      <x:c r="C126" s="77"/>
      <x:c r="D126" s="77"/>
      <x:c r="E126" s="77"/>
      <x:c r="F126" s="77"/>
      <x:c r="G126" s="77"/>
      <x:c r="H126" s="77"/>
      <x:c r="I126" s="77"/>
      <x:c r="J126" s="80"/>
      <x:c r="K126" s="77"/>
      <x:c r="L126" s="83"/>
      <x:c r="M126" s="83"/>
      <x:c r="N126" s="83"/>
      <x:c r="O126" s="77"/>
      <x:c r="P126" s="77"/>
      <x:c r="Q126" s="77"/>
    </x:row>
    <x:row r="127">
      <x:c r="A127" s="83"/>
      <x:c r="B127" s="77"/>
      <x:c r="C127" s="77"/>
      <x:c r="D127" s="77"/>
      <x:c r="E127" s="77"/>
      <x:c r="F127" s="77"/>
      <x:c r="G127" s="77"/>
      <x:c r="H127" s="77"/>
      <x:c r="I127" s="77"/>
      <x:c r="J127" s="80"/>
      <x:c r="K127" s="77"/>
      <x:c r="L127" s="83"/>
      <x:c r="M127" s="83"/>
      <x:c r="N127" s="83"/>
      <x:c r="O127" s="77"/>
      <x:c r="P127" s="77"/>
      <x:c r="Q127" s="77"/>
    </x:row>
    <x:row r="128">
      <x:c r="A128" s="83"/>
      <x:c r="B128" s="77"/>
      <x:c r="C128" s="77"/>
      <x:c r="D128" s="77"/>
      <x:c r="E128" s="77"/>
      <x:c r="F128" s="77"/>
      <x:c r="G128" s="77"/>
      <x:c r="H128" s="77"/>
      <x:c r="I128" s="77"/>
      <x:c r="J128" s="80"/>
      <x:c r="K128" s="77"/>
      <x:c r="L128" s="83"/>
      <x:c r="M128" s="83"/>
      <x:c r="N128" s="83"/>
      <x:c r="O128" s="77"/>
      <x:c r="P128" s="77"/>
      <x:c r="Q128" s="77"/>
    </x:row>
    <x:row r="129">
      <x:c r="A129" s="83"/>
      <x:c r="B129" s="77"/>
      <x:c r="C129" s="77"/>
      <x:c r="D129" s="77"/>
      <x:c r="E129" s="77"/>
      <x:c r="F129" s="77"/>
      <x:c r="G129" s="77"/>
      <x:c r="H129" s="77"/>
      <x:c r="I129" s="77"/>
      <x:c r="J129" s="80"/>
      <x:c r="K129" s="77"/>
      <x:c r="L129" s="83"/>
      <x:c r="M129" s="83"/>
      <x:c r="N129" s="83"/>
      <x:c r="O129" s="77"/>
      <x:c r="P129" s="77"/>
      <x:c r="Q129" s="77"/>
    </x:row>
    <x:row r="130">
      <x:c r="A130" s="83"/>
      <x:c r="B130" s="77"/>
      <x:c r="C130" s="77"/>
      <x:c r="D130" s="77"/>
      <x:c r="E130" s="77"/>
      <x:c r="F130" s="77"/>
      <x:c r="G130" s="77"/>
      <x:c r="H130" s="77"/>
      <x:c r="I130" s="77"/>
      <x:c r="J130" s="80"/>
      <x:c r="K130" s="77"/>
      <x:c r="L130" s="83"/>
      <x:c r="M130" s="83"/>
      <x:c r="N130" s="83"/>
      <x:c r="O130" s="77"/>
      <x:c r="P130" s="77"/>
      <x:c r="Q130" s="77"/>
    </x:row>
    <x:row r="131">
      <x:c r="A131" s="83"/>
      <x:c r="B131" s="77"/>
      <x:c r="C131" s="77"/>
      <x:c r="D131" s="77"/>
      <x:c r="E131" s="77"/>
      <x:c r="F131" s="77"/>
      <x:c r="G131" s="77"/>
      <x:c r="H131" s="77"/>
      <x:c r="I131" s="77"/>
      <x:c r="J131" s="80"/>
      <x:c r="K131" s="77"/>
      <x:c r="L131" s="83"/>
      <x:c r="M131" s="83"/>
      <x:c r="N131" s="83"/>
      <x:c r="O131" s="77"/>
      <x:c r="P131" s="77"/>
      <x:c r="Q131" s="77"/>
    </x:row>
    <x:row r="132">
      <x:c r="A132" s="83"/>
      <x:c r="B132" s="77"/>
      <x:c r="C132" s="77"/>
      <x:c r="D132" s="77"/>
      <x:c r="E132" s="77"/>
      <x:c r="F132" s="77"/>
      <x:c r="G132" s="77"/>
      <x:c r="H132" s="77"/>
      <x:c r="I132" s="77"/>
      <x:c r="J132" s="80"/>
      <x:c r="K132" s="77"/>
      <x:c r="L132" s="83"/>
      <x:c r="M132" s="83"/>
      <x:c r="N132" s="83"/>
      <x:c r="O132" s="77"/>
      <x:c r="P132" s="77"/>
      <x:c r="Q132" s="77"/>
    </x:row>
    <x:row r="133">
      <x:c r="A133" s="83"/>
      <x:c r="B133" s="77"/>
      <x:c r="C133" s="77"/>
      <x:c r="D133" s="77"/>
      <x:c r="E133" s="77"/>
      <x:c r="F133" s="77"/>
      <x:c r="G133" s="77"/>
      <x:c r="H133" s="77"/>
      <x:c r="I133" s="77"/>
      <x:c r="J133" s="80"/>
      <x:c r="K133" s="77"/>
      <x:c r="L133" s="83"/>
      <x:c r="M133" s="83"/>
      <x:c r="N133" s="83"/>
      <x:c r="O133" s="77"/>
      <x:c r="P133" s="77"/>
      <x:c r="Q133" s="77"/>
    </x:row>
    <x:row r="134">
      <x:c r="A134" s="83"/>
      <x:c r="B134" s="77"/>
      <x:c r="C134" s="77"/>
      <x:c r="D134" s="77"/>
      <x:c r="E134" s="77"/>
      <x:c r="F134" s="77"/>
      <x:c r="G134" s="77"/>
      <x:c r="H134" s="77"/>
      <x:c r="I134" s="77"/>
      <x:c r="J134" s="80"/>
      <x:c r="K134" s="77"/>
      <x:c r="L134" s="83"/>
      <x:c r="M134" s="83"/>
      <x:c r="N134" s="83"/>
      <x:c r="O134" s="77"/>
      <x:c r="P134" s="77"/>
      <x:c r="Q134" s="77"/>
    </x:row>
    <x:row r="135">
      <x:c r="A135" s="83"/>
      <x:c r="B135" s="77"/>
      <x:c r="C135" s="77"/>
      <x:c r="D135" s="77"/>
      <x:c r="E135" s="77"/>
      <x:c r="F135" s="77"/>
      <x:c r="G135" s="77"/>
      <x:c r="H135" s="77"/>
      <x:c r="I135" s="77"/>
      <x:c r="J135" s="80"/>
      <x:c r="K135" s="77"/>
      <x:c r="L135" s="83"/>
      <x:c r="M135" s="83"/>
      <x:c r="N135" s="83"/>
      <x:c r="O135" s="77"/>
      <x:c r="P135" s="77"/>
      <x:c r="Q135" s="77"/>
    </x:row>
    <x:row r="136">
      <x:c r="A136" s="83"/>
      <x:c r="B136" s="77"/>
      <x:c r="C136" s="77"/>
      <x:c r="D136" s="77"/>
      <x:c r="E136" s="77"/>
      <x:c r="F136" s="77"/>
      <x:c r="G136" s="77"/>
      <x:c r="H136" s="77"/>
      <x:c r="I136" s="77"/>
      <x:c r="J136" s="80"/>
      <x:c r="K136" s="77"/>
      <x:c r="L136" s="83"/>
      <x:c r="M136" s="83"/>
      <x:c r="N136" s="83"/>
      <x:c r="O136" s="77"/>
      <x:c r="P136" s="77"/>
      <x:c r="Q136" s="77"/>
    </x:row>
    <x:row r="137">
      <x:c r="A137" s="83"/>
      <x:c r="B137" s="77"/>
      <x:c r="C137" s="77"/>
      <x:c r="D137" s="77"/>
      <x:c r="E137" s="77"/>
      <x:c r="F137" s="77"/>
      <x:c r="G137" s="77"/>
      <x:c r="H137" s="77"/>
      <x:c r="I137" s="77"/>
      <x:c r="J137" s="80"/>
      <x:c r="K137" s="77"/>
      <x:c r="L137" s="83"/>
      <x:c r="M137" s="83"/>
      <x:c r="N137" s="83"/>
      <x:c r="O137" s="77"/>
      <x:c r="P137" s="77"/>
      <x:c r="Q137" s="77"/>
    </x:row>
    <x:row r="138">
      <x:c r="A138" s="83"/>
      <x:c r="B138" s="77"/>
      <x:c r="C138" s="77"/>
      <x:c r="D138" s="77"/>
      <x:c r="E138" s="77"/>
      <x:c r="F138" s="77"/>
      <x:c r="G138" s="77"/>
      <x:c r="H138" s="77"/>
      <x:c r="I138" s="77"/>
      <x:c r="J138" s="80"/>
      <x:c r="K138" s="77"/>
      <x:c r="L138" s="83"/>
      <x:c r="M138" s="83"/>
      <x:c r="N138" s="83"/>
      <x:c r="O138" s="77"/>
      <x:c r="P138" s="77"/>
      <x:c r="Q138" s="77"/>
    </x:row>
    <x:row r="139">
      <x:c r="A139" s="83"/>
      <x:c r="B139" s="77"/>
      <x:c r="C139" s="77"/>
      <x:c r="D139" s="77"/>
      <x:c r="E139" s="77"/>
      <x:c r="F139" s="77"/>
      <x:c r="G139" s="77"/>
      <x:c r="H139" s="77"/>
      <x:c r="I139" s="77"/>
      <x:c r="J139" s="80"/>
      <x:c r="K139" s="77"/>
      <x:c r="L139" s="83"/>
      <x:c r="M139" s="83"/>
      <x:c r="N139" s="83"/>
      <x:c r="O139" s="77"/>
      <x:c r="P139" s="77"/>
      <x:c r="Q139" s="77"/>
    </x:row>
    <x:row r="140">
      <x:c r="A140" s="83"/>
      <x:c r="B140" s="77"/>
      <x:c r="C140" s="77"/>
      <x:c r="D140" s="77"/>
      <x:c r="E140" s="77"/>
      <x:c r="F140" s="77"/>
      <x:c r="G140" s="77"/>
      <x:c r="H140" s="77"/>
      <x:c r="I140" s="77"/>
      <x:c r="J140" s="80"/>
      <x:c r="K140" s="77"/>
      <x:c r="L140" s="83"/>
      <x:c r="M140" s="83"/>
      <x:c r="N140" s="83"/>
      <x:c r="O140" s="77"/>
      <x:c r="P140" s="77"/>
      <x:c r="Q140" s="77"/>
    </x:row>
    <x:row r="141">
      <x:c r="A141" s="83"/>
      <x:c r="B141" s="77"/>
      <x:c r="C141" s="77"/>
      <x:c r="D141" s="77"/>
      <x:c r="E141" s="77"/>
      <x:c r="F141" s="77"/>
      <x:c r="G141" s="77"/>
      <x:c r="H141" s="77"/>
      <x:c r="I141" s="77"/>
      <x:c r="J141" s="80"/>
      <x:c r="K141" s="77"/>
      <x:c r="L141" s="83"/>
      <x:c r="M141" s="83"/>
      <x:c r="N141" s="83"/>
      <x:c r="O141" s="77"/>
      <x:c r="P141" s="77"/>
      <x:c r="Q141" s="77"/>
    </x:row>
    <x:row r="142">
      <x:c r="A142" s="83"/>
      <x:c r="B142" s="77"/>
      <x:c r="C142" s="77"/>
      <x:c r="D142" s="77"/>
      <x:c r="E142" s="77"/>
      <x:c r="F142" s="77"/>
      <x:c r="G142" s="77"/>
      <x:c r="H142" s="77"/>
      <x:c r="I142" s="77"/>
      <x:c r="J142" s="80"/>
      <x:c r="K142" s="77"/>
      <x:c r="L142" s="83"/>
      <x:c r="M142" s="83"/>
      <x:c r="N142" s="83"/>
      <x:c r="O142" s="77"/>
      <x:c r="P142" s="77"/>
      <x:c r="Q142" s="77"/>
    </x:row>
    <x:row r="143">
      <x:c r="A143" s="83"/>
      <x:c r="B143" s="77"/>
      <x:c r="C143" s="77"/>
      <x:c r="D143" s="77"/>
      <x:c r="E143" s="77"/>
      <x:c r="F143" s="77"/>
      <x:c r="G143" s="77"/>
      <x:c r="H143" s="77"/>
      <x:c r="I143" s="77"/>
      <x:c r="J143" s="80"/>
      <x:c r="K143" s="77"/>
      <x:c r="L143" s="83"/>
      <x:c r="M143" s="83"/>
      <x:c r="N143" s="83"/>
      <x:c r="O143" s="77"/>
      <x:c r="P143" s="77"/>
      <x:c r="Q143" s="77"/>
    </x:row>
    <x:row r="144">
      <x:c r="A144" s="83"/>
      <x:c r="B144" s="77"/>
      <x:c r="C144" s="77"/>
      <x:c r="D144" s="77"/>
      <x:c r="E144" s="77"/>
      <x:c r="F144" s="77"/>
      <x:c r="G144" s="77"/>
      <x:c r="H144" s="77"/>
      <x:c r="I144" s="77"/>
      <x:c r="J144" s="80"/>
      <x:c r="K144" s="77"/>
      <x:c r="L144" s="83"/>
      <x:c r="M144" s="83"/>
      <x:c r="N144" s="83"/>
      <x:c r="O144" s="77"/>
      <x:c r="P144" s="77"/>
      <x:c r="Q144" s="77"/>
    </x:row>
    <x:row r="145">
      <x:c r="A145" s="83"/>
      <x:c r="B145" s="77"/>
      <x:c r="C145" s="77"/>
      <x:c r="D145" s="77"/>
      <x:c r="E145" s="77"/>
      <x:c r="F145" s="77"/>
      <x:c r="G145" s="77"/>
      <x:c r="H145" s="77"/>
      <x:c r="I145" s="77"/>
      <x:c r="J145" s="80"/>
      <x:c r="K145" s="77"/>
      <x:c r="L145" s="83"/>
      <x:c r="M145" s="83"/>
      <x:c r="N145" s="83"/>
      <x:c r="O145" s="77"/>
      <x:c r="P145" s="77"/>
      <x:c r="Q145" s="77"/>
    </x:row>
    <x:row r="146">
      <x:c r="A146" s="83"/>
      <x:c r="B146" s="77"/>
      <x:c r="C146" s="77"/>
      <x:c r="D146" s="77"/>
      <x:c r="E146" s="77"/>
      <x:c r="F146" s="77"/>
      <x:c r="G146" s="77"/>
      <x:c r="H146" s="77"/>
      <x:c r="I146" s="77"/>
      <x:c r="J146" s="80"/>
      <x:c r="K146" s="77"/>
      <x:c r="L146" s="83"/>
      <x:c r="M146" s="83"/>
      <x:c r="N146" s="83"/>
      <x:c r="O146" s="77"/>
      <x:c r="P146" s="77"/>
      <x:c r="Q146" s="77"/>
    </x:row>
    <x:row r="147">
      <x:c r="A147" s="83"/>
      <x:c r="B147" s="77"/>
      <x:c r="C147" s="77"/>
      <x:c r="D147" s="77"/>
      <x:c r="E147" s="77"/>
      <x:c r="F147" s="77"/>
      <x:c r="G147" s="77"/>
      <x:c r="H147" s="77"/>
      <x:c r="I147" s="77"/>
      <x:c r="J147" s="80"/>
      <x:c r="K147" s="77"/>
      <x:c r="L147" s="83"/>
      <x:c r="M147" s="83"/>
      <x:c r="N147" s="83"/>
      <x:c r="O147" s="77"/>
      <x:c r="P147" s="77"/>
      <x:c r="Q147" s="77"/>
    </x:row>
    <x:row r="148">
      <x:c r="A148" s="83"/>
      <x:c r="B148" s="77"/>
      <x:c r="C148" s="77"/>
      <x:c r="D148" s="77"/>
      <x:c r="E148" s="77"/>
      <x:c r="F148" s="77"/>
      <x:c r="G148" s="77"/>
      <x:c r="H148" s="77"/>
      <x:c r="I148" s="77"/>
      <x:c r="J148" s="80"/>
      <x:c r="K148" s="77"/>
      <x:c r="L148" s="83"/>
      <x:c r="M148" s="83"/>
      <x:c r="N148" s="83"/>
      <x:c r="O148" s="77"/>
      <x:c r="P148" s="77"/>
      <x:c r="Q148" s="77"/>
    </x:row>
    <x:row r="149">
      <x:c r="A149" s="83"/>
      <x:c r="B149" s="77"/>
      <x:c r="C149" s="77"/>
      <x:c r="D149" s="77"/>
      <x:c r="E149" s="77"/>
      <x:c r="F149" s="77"/>
      <x:c r="G149" s="77"/>
      <x:c r="H149" s="77"/>
      <x:c r="I149" s="77"/>
      <x:c r="J149" s="80"/>
      <x:c r="K149" s="77"/>
      <x:c r="L149" s="83"/>
      <x:c r="M149" s="83"/>
      <x:c r="N149" s="83"/>
      <x:c r="O149" s="77"/>
      <x:c r="P149" s="77"/>
      <x:c r="Q149" s="77"/>
    </x:row>
    <x:row r="150">
      <x:c r="A150" s="83"/>
      <x:c r="B150" s="77"/>
      <x:c r="C150" s="77"/>
      <x:c r="D150" s="77"/>
      <x:c r="E150" s="77"/>
      <x:c r="F150" s="77"/>
      <x:c r="G150" s="77"/>
      <x:c r="H150" s="77"/>
      <x:c r="I150" s="77"/>
      <x:c r="J150" s="80"/>
      <x:c r="K150" s="77"/>
      <x:c r="L150" s="83"/>
      <x:c r="M150" s="83"/>
      <x:c r="N150" s="83"/>
      <x:c r="O150" s="77"/>
      <x:c r="P150" s="77"/>
      <x:c r="Q150" s="77"/>
    </x:row>
    <x:row r="151">
      <x:c r="A151" s="83"/>
      <x:c r="B151" s="77"/>
      <x:c r="C151" s="77"/>
      <x:c r="D151" s="77"/>
      <x:c r="E151" s="77"/>
      <x:c r="F151" s="77"/>
      <x:c r="G151" s="77"/>
      <x:c r="H151" s="77"/>
      <x:c r="I151" s="77"/>
      <x:c r="J151" s="80"/>
      <x:c r="K151" s="77"/>
      <x:c r="L151" s="83"/>
      <x:c r="M151" s="83"/>
      <x:c r="N151" s="83"/>
      <x:c r="O151" s="77"/>
      <x:c r="P151" s="77"/>
      <x:c r="Q151" s="77"/>
    </x:row>
    <x:row r="152">
      <x:c r="A152" s="83"/>
      <x:c r="B152" s="77"/>
      <x:c r="C152" s="77"/>
      <x:c r="D152" s="77"/>
      <x:c r="E152" s="77"/>
      <x:c r="F152" s="77"/>
      <x:c r="G152" s="77"/>
      <x:c r="H152" s="77"/>
      <x:c r="I152" s="77"/>
      <x:c r="J152" s="80"/>
      <x:c r="K152" s="77"/>
      <x:c r="L152" s="83"/>
      <x:c r="M152" s="83"/>
      <x:c r="N152" s="83"/>
      <x:c r="O152" s="77"/>
      <x:c r="P152" s="77"/>
      <x:c r="Q152" s="77"/>
    </x:row>
    <x:row r="153">
      <x:c r="A153" s="83"/>
      <x:c r="B153" s="77"/>
      <x:c r="C153" s="77"/>
      <x:c r="D153" s="77"/>
      <x:c r="E153" s="77"/>
      <x:c r="F153" s="77"/>
      <x:c r="G153" s="77"/>
      <x:c r="H153" s="77"/>
      <x:c r="I153" s="77"/>
      <x:c r="J153" s="80"/>
      <x:c r="K153" s="77"/>
      <x:c r="L153" s="83"/>
      <x:c r="M153" s="83"/>
      <x:c r="N153" s="83"/>
      <x:c r="O153" s="77"/>
      <x:c r="P153" s="77"/>
      <x:c r="Q153" s="77"/>
    </x:row>
    <x:row r="154">
      <x:c r="A154" s="83"/>
      <x:c r="B154" s="77"/>
      <x:c r="C154" s="77"/>
      <x:c r="D154" s="77"/>
      <x:c r="E154" s="77"/>
      <x:c r="F154" s="77"/>
      <x:c r="G154" s="77"/>
      <x:c r="H154" s="77"/>
      <x:c r="I154" s="77"/>
      <x:c r="J154" s="80"/>
      <x:c r="K154" s="77"/>
      <x:c r="L154" s="83"/>
      <x:c r="M154" s="83"/>
      <x:c r="N154" s="83"/>
      <x:c r="O154" s="77"/>
      <x:c r="P154" s="77"/>
      <x:c r="Q154" s="77"/>
    </x:row>
    <x:row r="155">
      <x:c r="A155" s="83"/>
      <x:c r="B155" s="77"/>
      <x:c r="C155" s="77"/>
      <x:c r="D155" s="77"/>
      <x:c r="E155" s="77"/>
      <x:c r="F155" s="77"/>
      <x:c r="G155" s="77"/>
      <x:c r="H155" s="77"/>
      <x:c r="I155" s="77"/>
      <x:c r="J155" s="80"/>
      <x:c r="K155" s="77"/>
      <x:c r="L155" s="83"/>
      <x:c r="M155" s="83"/>
      <x:c r="N155" s="83"/>
      <x:c r="O155" s="77"/>
      <x:c r="P155" s="77"/>
      <x:c r="Q155" s="77"/>
    </x:row>
    <x:row r="156">
      <x:c r="A156" s="83"/>
      <x:c r="B156" s="77"/>
      <x:c r="C156" s="77"/>
      <x:c r="D156" s="77"/>
      <x:c r="E156" s="77"/>
      <x:c r="F156" s="77"/>
      <x:c r="G156" s="77"/>
      <x:c r="H156" s="77"/>
      <x:c r="I156" s="77"/>
      <x:c r="J156" s="80"/>
      <x:c r="K156" s="77"/>
      <x:c r="L156" s="83"/>
      <x:c r="M156" s="83"/>
      <x:c r="N156" s="83"/>
      <x:c r="O156" s="77"/>
      <x:c r="P156" s="77"/>
      <x:c r="Q156" s="77"/>
    </x:row>
    <x:row r="157">
      <x:c r="A157" s="83"/>
      <x:c r="B157" s="77"/>
      <x:c r="C157" s="77"/>
      <x:c r="D157" s="77"/>
      <x:c r="E157" s="77"/>
      <x:c r="F157" s="77"/>
      <x:c r="G157" s="77"/>
      <x:c r="H157" s="77"/>
      <x:c r="I157" s="77"/>
      <x:c r="J157" s="80"/>
      <x:c r="K157" s="77"/>
      <x:c r="L157" s="83"/>
      <x:c r="M157" s="83"/>
      <x:c r="N157" s="83"/>
      <x:c r="O157" s="77"/>
      <x:c r="P157" s="77"/>
      <x:c r="Q157" s="77"/>
    </x:row>
    <x:row r="158">
      <x:c r="A158" s="83"/>
      <x:c r="B158" s="77"/>
      <x:c r="C158" s="77"/>
      <x:c r="D158" s="77"/>
      <x:c r="E158" s="77"/>
      <x:c r="F158" s="77"/>
      <x:c r="G158" s="77"/>
      <x:c r="H158" s="77"/>
      <x:c r="I158" s="77"/>
      <x:c r="J158" s="80"/>
      <x:c r="K158" s="77"/>
      <x:c r="L158" s="83"/>
      <x:c r="M158" s="83"/>
      <x:c r="N158" s="83"/>
      <x:c r="O158" s="77"/>
      <x:c r="P158" s="77"/>
      <x:c r="Q158" s="77"/>
    </x:row>
    <x:row r="159">
      <x:c r="A159" s="83"/>
      <x:c r="B159" s="77"/>
      <x:c r="C159" s="77"/>
      <x:c r="D159" s="77"/>
      <x:c r="E159" s="77"/>
      <x:c r="F159" s="77"/>
      <x:c r="G159" s="77"/>
      <x:c r="H159" s="77"/>
      <x:c r="I159" s="77"/>
      <x:c r="J159" s="80"/>
      <x:c r="K159" s="77"/>
      <x:c r="L159" s="83"/>
      <x:c r="M159" s="83"/>
      <x:c r="N159" s="83"/>
      <x:c r="O159" s="77"/>
      <x:c r="P159" s="77"/>
      <x:c r="Q159" s="77"/>
    </x:row>
    <x:row r="160">
      <x:c r="A160" s="83"/>
      <x:c r="B160" s="77"/>
      <x:c r="C160" s="77"/>
      <x:c r="D160" s="77"/>
      <x:c r="E160" s="77"/>
      <x:c r="F160" s="77"/>
      <x:c r="G160" s="77"/>
      <x:c r="H160" s="77"/>
      <x:c r="I160" s="77"/>
      <x:c r="J160" s="80"/>
      <x:c r="K160" s="77"/>
      <x:c r="L160" s="83"/>
      <x:c r="M160" s="83"/>
      <x:c r="N160" s="83"/>
      <x:c r="O160" s="77"/>
      <x:c r="P160" s="77"/>
      <x:c r="Q160" s="77"/>
    </x:row>
    <x:row r="161">
      <x:c r="A161" s="83"/>
      <x:c r="B161" s="77"/>
      <x:c r="C161" s="77"/>
      <x:c r="D161" s="77"/>
      <x:c r="E161" s="77"/>
      <x:c r="F161" s="77"/>
      <x:c r="G161" s="77"/>
      <x:c r="H161" s="77"/>
      <x:c r="I161" s="77"/>
      <x:c r="J161" s="80"/>
      <x:c r="K161" s="77"/>
      <x:c r="L161" s="83"/>
      <x:c r="M161" s="83"/>
      <x:c r="N161" s="83"/>
      <x:c r="O161" s="77"/>
      <x:c r="P161" s="77"/>
      <x:c r="Q161" s="77"/>
    </x:row>
    <x:row r="162">
      <x:c r="A162" s="83"/>
      <x:c r="B162" s="77"/>
      <x:c r="C162" s="77"/>
      <x:c r="D162" s="77"/>
      <x:c r="E162" s="77"/>
      <x:c r="F162" s="77"/>
      <x:c r="G162" s="77"/>
      <x:c r="H162" s="77"/>
      <x:c r="I162" s="77"/>
      <x:c r="J162" s="80"/>
      <x:c r="K162" s="77"/>
      <x:c r="L162" s="83"/>
      <x:c r="M162" s="83"/>
      <x:c r="N162" s="83"/>
      <x:c r="O162" s="77"/>
      <x:c r="P162" s="77"/>
      <x:c r="Q162" s="77"/>
    </x:row>
    <x:row r="163">
      <x:c r="A163" s="83"/>
      <x:c r="B163" s="77"/>
      <x:c r="C163" s="77"/>
      <x:c r="D163" s="77"/>
      <x:c r="E163" s="77"/>
      <x:c r="F163" s="77"/>
      <x:c r="G163" s="77"/>
      <x:c r="H163" s="77"/>
      <x:c r="I163" s="77"/>
      <x:c r="J163" s="80"/>
      <x:c r="K163" s="77"/>
      <x:c r="L163" s="83"/>
      <x:c r="M163" s="83"/>
      <x:c r="N163" s="83"/>
      <x:c r="O163" s="77"/>
      <x:c r="P163" s="77"/>
      <x:c r="Q163" s="77"/>
    </x:row>
    <x:row r="164">
      <x:c r="A164" s="83"/>
      <x:c r="B164" s="77"/>
      <x:c r="C164" s="77"/>
      <x:c r="D164" s="77"/>
      <x:c r="E164" s="77"/>
      <x:c r="F164" s="77"/>
      <x:c r="G164" s="77"/>
      <x:c r="H164" s="77"/>
      <x:c r="I164" s="77"/>
      <x:c r="J164" s="80"/>
      <x:c r="K164" s="77"/>
      <x:c r="L164" s="83"/>
      <x:c r="M164" s="83"/>
      <x:c r="N164" s="83"/>
      <x:c r="O164" s="77"/>
      <x:c r="P164" s="77"/>
      <x:c r="Q164" s="77"/>
    </x:row>
    <x:row r="165">
      <x:c r="A165" s="83"/>
      <x:c r="B165" s="77"/>
      <x:c r="C165" s="77"/>
      <x:c r="D165" s="77"/>
      <x:c r="E165" s="77"/>
      <x:c r="F165" s="77"/>
      <x:c r="G165" s="77"/>
      <x:c r="H165" s="77"/>
      <x:c r="I165" s="77"/>
      <x:c r="J165" s="80"/>
      <x:c r="K165" s="77"/>
      <x:c r="L165" s="83"/>
      <x:c r="M165" s="83"/>
      <x:c r="N165" s="83"/>
      <x:c r="O165" s="77"/>
      <x:c r="P165" s="77"/>
      <x:c r="Q165" s="77"/>
    </x:row>
    <x:row r="166">
      <x:c r="A166" s="83"/>
      <x:c r="B166" s="77"/>
      <x:c r="C166" s="77"/>
      <x:c r="D166" s="77"/>
      <x:c r="E166" s="77"/>
      <x:c r="F166" s="77"/>
      <x:c r="G166" s="77"/>
      <x:c r="H166" s="77"/>
      <x:c r="I166" s="77"/>
      <x:c r="J166" s="80"/>
      <x:c r="K166" s="77"/>
      <x:c r="L166" s="83"/>
      <x:c r="M166" s="83"/>
      <x:c r="N166" s="83"/>
      <x:c r="O166" s="77"/>
      <x:c r="P166" s="77"/>
      <x:c r="Q166" s="77"/>
    </x:row>
    <x:row r="167">
      <x:c r="A167" s="83"/>
      <x:c r="B167" s="77"/>
      <x:c r="C167" s="77"/>
      <x:c r="D167" s="77"/>
      <x:c r="E167" s="77"/>
      <x:c r="F167" s="77"/>
      <x:c r="G167" s="77"/>
      <x:c r="H167" s="77"/>
      <x:c r="I167" s="77"/>
      <x:c r="J167" s="80"/>
      <x:c r="K167" s="77"/>
      <x:c r="L167" s="83"/>
      <x:c r="M167" s="83"/>
      <x:c r="N167" s="83"/>
      <x:c r="O167" s="77"/>
      <x:c r="P167" s="77"/>
      <x:c r="Q167" s="77"/>
    </x:row>
    <x:row r="168">
      <x:c r="A168" s="83"/>
      <x:c r="B168" s="77"/>
      <x:c r="C168" s="77"/>
      <x:c r="D168" s="77"/>
      <x:c r="E168" s="77"/>
      <x:c r="F168" s="77"/>
      <x:c r="G168" s="77"/>
      <x:c r="H168" s="77"/>
      <x:c r="I168" s="77"/>
      <x:c r="J168" s="80"/>
      <x:c r="K168" s="77"/>
      <x:c r="L168" s="83"/>
      <x:c r="M168" s="83"/>
      <x:c r="N168" s="83"/>
      <x:c r="O168" s="77"/>
      <x:c r="P168" s="77"/>
      <x:c r="Q168" s="77"/>
    </x:row>
    <x:row r="169">
      <x:c r="A169" s="83"/>
      <x:c r="B169" s="77"/>
      <x:c r="C169" s="77"/>
      <x:c r="D169" s="77"/>
      <x:c r="E169" s="77"/>
      <x:c r="F169" s="77"/>
      <x:c r="G169" s="77"/>
      <x:c r="H169" s="77"/>
      <x:c r="I169" s="77"/>
      <x:c r="J169" s="80"/>
      <x:c r="K169" s="77"/>
      <x:c r="L169" s="83"/>
      <x:c r="M169" s="83"/>
      <x:c r="N169" s="83"/>
      <x:c r="O169" s="77"/>
      <x:c r="P169" s="77"/>
      <x:c r="Q169" s="77"/>
    </x:row>
    <x:row r="170">
      <x:c r="A170" s="83"/>
      <x:c r="B170" s="77"/>
      <x:c r="C170" s="77"/>
      <x:c r="D170" s="77"/>
      <x:c r="E170" s="77"/>
      <x:c r="F170" s="77"/>
      <x:c r="G170" s="77"/>
      <x:c r="H170" s="77"/>
      <x:c r="I170" s="77"/>
      <x:c r="J170" s="80"/>
      <x:c r="K170" s="77"/>
      <x:c r="L170" s="83"/>
      <x:c r="M170" s="83"/>
      <x:c r="N170" s="83"/>
      <x:c r="O170" s="77"/>
      <x:c r="P170" s="77"/>
      <x:c r="Q170" s="77"/>
    </x:row>
    <x:row r="171">
      <x:c r="A171" s="83"/>
      <x:c r="B171" s="77"/>
      <x:c r="C171" s="77"/>
      <x:c r="D171" s="77"/>
      <x:c r="E171" s="77"/>
      <x:c r="F171" s="77"/>
      <x:c r="G171" s="77"/>
      <x:c r="H171" s="77"/>
      <x:c r="I171" s="77"/>
      <x:c r="J171" s="80"/>
      <x:c r="K171" s="77"/>
      <x:c r="L171" s="83"/>
      <x:c r="M171" s="83"/>
      <x:c r="N171" s="83"/>
      <x:c r="O171" s="77"/>
      <x:c r="P171" s="77"/>
      <x:c r="Q171" s="77"/>
    </x:row>
    <x:row r="172">
      <x:c r="A172" s="83"/>
      <x:c r="B172" s="77"/>
      <x:c r="C172" s="77"/>
      <x:c r="D172" s="77"/>
      <x:c r="E172" s="77"/>
      <x:c r="F172" s="77"/>
      <x:c r="G172" s="77"/>
      <x:c r="H172" s="77"/>
      <x:c r="I172" s="77"/>
      <x:c r="J172" s="80"/>
      <x:c r="K172" s="77"/>
      <x:c r="L172" s="83"/>
      <x:c r="M172" s="83"/>
      <x:c r="N172" s="83"/>
      <x:c r="O172" s="77"/>
      <x:c r="P172" s="77"/>
      <x:c r="Q172" s="77"/>
    </x:row>
    <x:row r="173">
      <x:c r="A173" s="83"/>
      <x:c r="B173" s="77"/>
      <x:c r="C173" s="77"/>
      <x:c r="D173" s="77"/>
      <x:c r="E173" s="77"/>
      <x:c r="F173" s="77"/>
      <x:c r="G173" s="77"/>
      <x:c r="H173" s="77"/>
      <x:c r="I173" s="77"/>
      <x:c r="J173" s="80"/>
      <x:c r="K173" s="77"/>
      <x:c r="L173" s="83"/>
      <x:c r="M173" s="83"/>
      <x:c r="N173" s="83"/>
      <x:c r="O173" s="77"/>
      <x:c r="P173" s="77"/>
      <x:c r="Q173" s="77"/>
    </x:row>
    <x:row r="174">
      <x:c r="A174" s="83"/>
      <x:c r="B174" s="77"/>
      <x:c r="C174" s="77"/>
      <x:c r="D174" s="77"/>
      <x:c r="E174" s="77"/>
      <x:c r="F174" s="77"/>
      <x:c r="G174" s="77"/>
      <x:c r="H174" s="77"/>
      <x:c r="I174" s="77"/>
      <x:c r="J174" s="80"/>
      <x:c r="K174" s="77"/>
      <x:c r="L174" s="83"/>
      <x:c r="M174" s="83"/>
      <x:c r="N174" s="83"/>
      <x:c r="O174" s="77"/>
      <x:c r="P174" s="77"/>
      <x:c r="Q174" s="77"/>
    </x:row>
    <x:row r="175">
      <x:c r="A175" s="83"/>
      <x:c r="B175" s="77"/>
      <x:c r="C175" s="77"/>
      <x:c r="D175" s="77"/>
      <x:c r="E175" s="77"/>
      <x:c r="F175" s="77"/>
      <x:c r="G175" s="77"/>
      <x:c r="H175" s="77"/>
      <x:c r="I175" s="77"/>
      <x:c r="J175" s="80"/>
      <x:c r="K175" s="77"/>
      <x:c r="L175" s="83"/>
      <x:c r="M175" s="83"/>
      <x:c r="N175" s="83"/>
      <x:c r="O175" s="77"/>
      <x:c r="P175" s="77"/>
      <x:c r="Q175" s="77"/>
    </x:row>
    <x:row r="176">
      <x:c r="A176" s="83"/>
      <x:c r="B176" s="77"/>
      <x:c r="C176" s="77"/>
      <x:c r="D176" s="77"/>
      <x:c r="E176" s="77"/>
      <x:c r="F176" s="77"/>
      <x:c r="G176" s="77"/>
      <x:c r="H176" s="77"/>
      <x:c r="I176" s="77"/>
      <x:c r="J176" s="80"/>
      <x:c r="K176" s="77"/>
      <x:c r="L176" s="83"/>
      <x:c r="M176" s="83"/>
      <x:c r="N176" s="83"/>
      <x:c r="O176" s="77"/>
      <x:c r="P176" s="77"/>
      <x:c r="Q176" s="77"/>
    </x:row>
    <x:row r="177">
      <x:c r="A177" s="83"/>
      <x:c r="B177" s="77"/>
      <x:c r="C177" s="77"/>
      <x:c r="D177" s="77"/>
      <x:c r="E177" s="77"/>
      <x:c r="F177" s="77"/>
      <x:c r="G177" s="77"/>
      <x:c r="H177" s="77"/>
      <x:c r="I177" s="77"/>
      <x:c r="J177" s="80"/>
      <x:c r="K177" s="77"/>
      <x:c r="L177" s="83"/>
      <x:c r="M177" s="83"/>
      <x:c r="N177" s="83"/>
      <x:c r="O177" s="77"/>
      <x:c r="P177" s="77"/>
      <x:c r="Q177" s="77"/>
    </x:row>
    <x:row r="178">
      <x:c r="A178" s="83"/>
      <x:c r="B178" s="77"/>
      <x:c r="C178" s="77"/>
      <x:c r="D178" s="77"/>
      <x:c r="E178" s="77"/>
      <x:c r="F178" s="77"/>
      <x:c r="G178" s="77"/>
      <x:c r="H178" s="77"/>
      <x:c r="I178" s="77"/>
      <x:c r="J178" s="80"/>
      <x:c r="K178" s="77"/>
      <x:c r="L178" s="83"/>
      <x:c r="M178" s="83"/>
      <x:c r="N178" s="83"/>
      <x:c r="O178" s="77"/>
      <x:c r="P178" s="77"/>
      <x:c r="Q178" s="77"/>
    </x:row>
    <x:row r="179">
      <x:c r="A179" s="83"/>
      <x:c r="B179" s="77"/>
      <x:c r="C179" s="77"/>
      <x:c r="D179" s="77"/>
      <x:c r="E179" s="77"/>
      <x:c r="F179" s="77"/>
      <x:c r="G179" s="77"/>
      <x:c r="H179" s="77"/>
      <x:c r="I179" s="77"/>
      <x:c r="J179" s="80"/>
      <x:c r="K179" s="77"/>
      <x:c r="L179" s="83"/>
      <x:c r="M179" s="83"/>
      <x:c r="N179" s="83"/>
      <x:c r="O179" s="77"/>
      <x:c r="P179" s="77"/>
      <x:c r="Q179" s="77"/>
    </x:row>
    <x:row r="180">
      <x:c r="A180" s="83"/>
      <x:c r="B180" s="77"/>
      <x:c r="C180" s="77"/>
      <x:c r="D180" s="77"/>
      <x:c r="E180" s="77"/>
      <x:c r="F180" s="77"/>
      <x:c r="G180" s="77"/>
      <x:c r="H180" s="77"/>
      <x:c r="I180" s="77"/>
      <x:c r="J180" s="80"/>
      <x:c r="K180" s="77"/>
      <x:c r="L180" s="83"/>
      <x:c r="M180" s="83"/>
      <x:c r="N180" s="83"/>
      <x:c r="O180" s="77"/>
      <x:c r="P180" s="77"/>
      <x:c r="Q180" s="77"/>
    </x:row>
    <x:row r="181">
      <x:c r="A181" s="83"/>
      <x:c r="B181" s="77"/>
      <x:c r="C181" s="77"/>
      <x:c r="D181" s="77"/>
      <x:c r="E181" s="77"/>
      <x:c r="F181" s="77"/>
      <x:c r="G181" s="77"/>
      <x:c r="H181" s="77"/>
      <x:c r="I181" s="77"/>
      <x:c r="J181" s="80"/>
      <x:c r="K181" s="77"/>
      <x:c r="L181" s="83"/>
      <x:c r="M181" s="83"/>
      <x:c r="N181" s="83"/>
      <x:c r="O181" s="77"/>
      <x:c r="P181" s="77"/>
      <x:c r="Q181" s="77"/>
    </x:row>
    <x:row r="182">
      <x:c r="A182" s="83"/>
      <x:c r="B182" s="77"/>
      <x:c r="C182" s="77"/>
      <x:c r="D182" s="77"/>
      <x:c r="E182" s="77"/>
      <x:c r="F182" s="77"/>
      <x:c r="G182" s="77"/>
      <x:c r="H182" s="77"/>
      <x:c r="I182" s="77"/>
      <x:c r="J182" s="80"/>
      <x:c r="K182" s="77"/>
      <x:c r="L182" s="83"/>
      <x:c r="M182" s="83"/>
      <x:c r="N182" s="83"/>
      <x:c r="O182" s="77"/>
      <x:c r="P182" s="77"/>
      <x:c r="Q182" s="77"/>
    </x:row>
    <x:row r="183">
      <x:c r="A183" s="83"/>
      <x:c r="B183" s="77"/>
      <x:c r="C183" s="77"/>
      <x:c r="D183" s="77"/>
      <x:c r="E183" s="77"/>
      <x:c r="F183" s="77"/>
      <x:c r="G183" s="77"/>
      <x:c r="H183" s="77"/>
      <x:c r="I183" s="77"/>
      <x:c r="J183" s="80"/>
      <x:c r="K183" s="77"/>
      <x:c r="L183" s="83"/>
      <x:c r="M183" s="83"/>
      <x:c r="N183" s="83"/>
      <x:c r="O183" s="77"/>
      <x:c r="P183" s="77"/>
      <x:c r="Q183" s="77"/>
    </x:row>
    <x:row r="184">
      <x:c r="A184" s="83"/>
      <x:c r="B184" s="77"/>
      <x:c r="C184" s="77"/>
      <x:c r="D184" s="77"/>
      <x:c r="E184" s="77"/>
      <x:c r="F184" s="77"/>
      <x:c r="G184" s="77"/>
      <x:c r="H184" s="77"/>
      <x:c r="I184" s="77"/>
      <x:c r="J184" s="80"/>
      <x:c r="K184" s="77"/>
      <x:c r="L184" s="83"/>
      <x:c r="M184" s="83"/>
      <x:c r="N184" s="83"/>
      <x:c r="O184" s="77"/>
      <x:c r="P184" s="77"/>
      <x:c r="Q184" s="77"/>
    </x:row>
    <x:row r="185">
      <x:c r="A185" s="83"/>
      <x:c r="B185" s="77"/>
      <x:c r="C185" s="77"/>
      <x:c r="D185" s="77"/>
      <x:c r="E185" s="77"/>
      <x:c r="F185" s="77"/>
      <x:c r="G185" s="77"/>
      <x:c r="H185" s="77"/>
      <x:c r="I185" s="77"/>
      <x:c r="J185" s="80"/>
      <x:c r="K185" s="77"/>
      <x:c r="L185" s="83"/>
      <x:c r="M185" s="83"/>
      <x:c r="N185" s="83"/>
      <x:c r="O185" s="77"/>
      <x:c r="P185" s="77"/>
      <x:c r="Q185" s="77"/>
    </x:row>
    <x:row r="186">
      <x:c r="A186" s="83"/>
      <x:c r="B186" s="77"/>
      <x:c r="C186" s="77"/>
      <x:c r="D186" s="77"/>
      <x:c r="E186" s="77"/>
      <x:c r="F186" s="77"/>
      <x:c r="G186" s="77"/>
      <x:c r="H186" s="77"/>
      <x:c r="I186" s="77"/>
      <x:c r="J186" s="80"/>
      <x:c r="K186" s="77"/>
      <x:c r="L186" s="83"/>
      <x:c r="M186" s="83"/>
      <x:c r="N186" s="83"/>
      <x:c r="O186" s="77"/>
      <x:c r="P186" s="77"/>
      <x:c r="Q186" s="77"/>
    </x:row>
    <x:row r="187">
      <x:c r="A187" s="83"/>
      <x:c r="B187" s="77"/>
      <x:c r="C187" s="77"/>
      <x:c r="D187" s="77"/>
      <x:c r="E187" s="77"/>
      <x:c r="F187" s="77"/>
      <x:c r="G187" s="77"/>
      <x:c r="H187" s="77"/>
      <x:c r="I187" s="77"/>
      <x:c r="J187" s="80"/>
      <x:c r="K187" s="77"/>
      <x:c r="L187" s="83"/>
      <x:c r="M187" s="83"/>
      <x:c r="N187" s="83"/>
      <x:c r="O187" s="77"/>
      <x:c r="P187" s="77"/>
      <x:c r="Q187" s="77"/>
    </x:row>
    <x:row r="188">
      <x:c r="A188" s="83"/>
      <x:c r="B188" s="77"/>
      <x:c r="C188" s="77"/>
      <x:c r="D188" s="77"/>
      <x:c r="E188" s="77"/>
      <x:c r="F188" s="77"/>
      <x:c r="G188" s="77"/>
      <x:c r="H188" s="77"/>
      <x:c r="I188" s="77"/>
      <x:c r="J188" s="80"/>
      <x:c r="K188" s="77"/>
      <x:c r="L188" s="83"/>
      <x:c r="M188" s="83"/>
      <x:c r="N188" s="83"/>
      <x:c r="O188" s="77"/>
      <x:c r="P188" s="77"/>
      <x:c r="Q188" s="77"/>
    </x:row>
    <x:row r="189">
      <x:c r="A189" s="83"/>
      <x:c r="B189" s="77"/>
      <x:c r="C189" s="77"/>
      <x:c r="D189" s="77"/>
      <x:c r="E189" s="77"/>
      <x:c r="F189" s="77"/>
      <x:c r="G189" s="77"/>
      <x:c r="H189" s="77"/>
      <x:c r="I189" s="77"/>
      <x:c r="J189" s="80"/>
      <x:c r="K189" s="77"/>
      <x:c r="L189" s="83"/>
      <x:c r="M189" s="83"/>
      <x:c r="N189" s="83"/>
      <x:c r="O189" s="77"/>
      <x:c r="P189" s="77"/>
      <x:c r="Q189" s="77"/>
    </x:row>
    <x:row r="190">
      <x:c r="A190" s="83"/>
      <x:c r="B190" s="77"/>
      <x:c r="C190" s="77"/>
      <x:c r="D190" s="77"/>
      <x:c r="E190" s="77"/>
      <x:c r="F190" s="77"/>
      <x:c r="G190" s="77"/>
      <x:c r="H190" s="77"/>
      <x:c r="I190" s="77"/>
      <x:c r="J190" s="80"/>
      <x:c r="K190" s="77"/>
      <x:c r="L190" s="83"/>
      <x:c r="M190" s="83"/>
      <x:c r="N190" s="83"/>
      <x:c r="O190" s="77"/>
      <x:c r="P190" s="77"/>
      <x:c r="Q190" s="77"/>
    </x:row>
    <x:row r="191">
      <x:c r="A191" s="83"/>
      <x:c r="B191" s="77"/>
      <x:c r="C191" s="77"/>
      <x:c r="D191" s="77"/>
      <x:c r="E191" s="77"/>
      <x:c r="F191" s="77"/>
      <x:c r="G191" s="77"/>
      <x:c r="H191" s="77"/>
      <x:c r="I191" s="77"/>
      <x:c r="J191" s="80"/>
      <x:c r="K191" s="77"/>
      <x:c r="L191" s="83"/>
      <x:c r="M191" s="83"/>
      <x:c r="N191" s="83"/>
      <x:c r="O191" s="77"/>
      <x:c r="P191" s="77"/>
      <x:c r="Q191" s="77"/>
    </x:row>
    <x:row r="192">
      <x:c r="A192" s="83"/>
      <x:c r="B192" s="77"/>
      <x:c r="C192" s="77"/>
      <x:c r="D192" s="77"/>
      <x:c r="E192" s="77"/>
      <x:c r="F192" s="77"/>
      <x:c r="G192" s="77"/>
      <x:c r="H192" s="77"/>
      <x:c r="I192" s="77"/>
      <x:c r="J192" s="80"/>
      <x:c r="K192" s="77"/>
      <x:c r="L192" s="83"/>
      <x:c r="M192" s="83"/>
      <x:c r="N192" s="83"/>
      <x:c r="O192" s="77"/>
      <x:c r="P192" s="77"/>
      <x:c r="Q192" s="77"/>
    </x:row>
    <x:row r="193">
      <x:c r="A193" s="83"/>
      <x:c r="B193" s="77"/>
      <x:c r="C193" s="77"/>
      <x:c r="D193" s="77"/>
      <x:c r="E193" s="77"/>
      <x:c r="F193" s="77"/>
      <x:c r="G193" s="77"/>
      <x:c r="H193" s="77"/>
      <x:c r="I193" s="77"/>
      <x:c r="J193" s="80"/>
      <x:c r="K193" s="77"/>
      <x:c r="L193" s="83"/>
      <x:c r="M193" s="83"/>
      <x:c r="N193" s="83"/>
      <x:c r="O193" s="77"/>
      <x:c r="P193" s="77"/>
      <x:c r="Q193" s="77"/>
    </x:row>
    <x:row r="194">
      <x:c r="A194" s="83"/>
      <x:c r="B194" s="77"/>
      <x:c r="C194" s="77"/>
      <x:c r="D194" s="77"/>
      <x:c r="E194" s="77"/>
      <x:c r="F194" s="77"/>
      <x:c r="G194" s="77"/>
      <x:c r="H194" s="77"/>
      <x:c r="I194" s="77"/>
      <x:c r="J194" s="80"/>
      <x:c r="K194" s="77"/>
      <x:c r="L194" s="83"/>
      <x:c r="M194" s="83"/>
      <x:c r="N194" s="83"/>
      <x:c r="O194" s="77"/>
      <x:c r="P194" s="77"/>
      <x:c r="Q194" s="77"/>
    </x:row>
    <x:row r="195">
      <x:c r="A195" s="83"/>
      <x:c r="B195" s="77"/>
      <x:c r="C195" s="77"/>
      <x:c r="D195" s="77"/>
      <x:c r="E195" s="77"/>
      <x:c r="F195" s="77"/>
      <x:c r="G195" s="77"/>
      <x:c r="H195" s="77"/>
      <x:c r="I195" s="77"/>
      <x:c r="J195" s="80"/>
      <x:c r="K195" s="77"/>
      <x:c r="L195" s="83"/>
      <x:c r="M195" s="83"/>
      <x:c r="N195" s="83"/>
      <x:c r="O195" s="77"/>
      <x:c r="P195" s="77"/>
      <x:c r="Q195" s="77"/>
    </x:row>
    <x:row r="196">
      <x:c r="A196" s="83"/>
      <x:c r="B196" s="77"/>
      <x:c r="C196" s="77"/>
      <x:c r="D196" s="77"/>
      <x:c r="E196" s="77"/>
      <x:c r="F196" s="77"/>
      <x:c r="G196" s="77"/>
      <x:c r="H196" s="77"/>
      <x:c r="I196" s="77"/>
      <x:c r="J196" s="80"/>
      <x:c r="K196" s="77"/>
      <x:c r="L196" s="83"/>
      <x:c r="M196" s="83"/>
      <x:c r="N196" s="83"/>
      <x:c r="O196" s="77"/>
      <x:c r="P196" s="77"/>
      <x:c r="Q196" s="77"/>
    </x:row>
    <x:row r="197">
      <x:c r="A197" s="83"/>
      <x:c r="B197" s="77"/>
      <x:c r="C197" s="77"/>
      <x:c r="D197" s="77"/>
      <x:c r="E197" s="77"/>
      <x:c r="F197" s="77"/>
      <x:c r="G197" s="77"/>
      <x:c r="H197" s="77"/>
      <x:c r="I197" s="77"/>
      <x:c r="J197" s="80"/>
      <x:c r="K197" s="77"/>
      <x:c r="L197" s="83"/>
      <x:c r="M197" s="83"/>
      <x:c r="N197" s="83"/>
      <x:c r="O197" s="77"/>
      <x:c r="P197" s="77"/>
      <x:c r="Q197" s="77"/>
    </x:row>
    <x:row r="198">
      <x:c r="A198" s="83"/>
      <x:c r="B198" s="77"/>
      <x:c r="C198" s="77"/>
      <x:c r="D198" s="77"/>
      <x:c r="E198" s="77"/>
      <x:c r="F198" s="77"/>
      <x:c r="G198" s="77"/>
      <x:c r="H198" s="77"/>
      <x:c r="I198" s="77"/>
      <x:c r="J198" s="80"/>
      <x:c r="K198" s="77"/>
      <x:c r="L198" s="83"/>
      <x:c r="M198" s="83"/>
      <x:c r="N198" s="83"/>
      <x:c r="O198" s="77"/>
      <x:c r="P198" s="77"/>
      <x:c r="Q198" s="77"/>
    </x:row>
    <x:row r="199">
      <x:c r="A199" s="83"/>
      <x:c r="B199" s="77"/>
      <x:c r="C199" s="77"/>
      <x:c r="D199" s="77"/>
      <x:c r="E199" s="77"/>
      <x:c r="F199" s="77"/>
      <x:c r="G199" s="77"/>
      <x:c r="H199" s="77"/>
      <x:c r="I199" s="77"/>
      <x:c r="J199" s="80"/>
      <x:c r="K199" s="77"/>
      <x:c r="L199" s="83"/>
      <x:c r="M199" s="83"/>
      <x:c r="N199" s="83"/>
      <x:c r="O199" s="77"/>
      <x:c r="P199" s="77"/>
      <x:c r="Q199" s="77"/>
    </x:row>
    <x:row r="200">
      <x:c r="A200" s="83"/>
      <x:c r="B200" s="77"/>
      <x:c r="C200" s="77"/>
      <x:c r="D200" s="77"/>
      <x:c r="E200" s="77"/>
      <x:c r="F200" s="77"/>
      <x:c r="G200" s="77"/>
      <x:c r="H200" s="77"/>
      <x:c r="I200" s="77"/>
      <x:c r="J200" s="80"/>
      <x:c r="K200" s="77"/>
      <x:c r="L200" s="83"/>
      <x:c r="M200" s="83"/>
      <x:c r="N200" s="83"/>
      <x:c r="O200" s="77"/>
      <x:c r="P200" s="77"/>
      <x:c r="Q200" s="77"/>
    </x:row>
    <x:row r="201">
      <x:c r="A201" s="83"/>
      <x:c r="B201" s="77"/>
      <x:c r="C201" s="77"/>
      <x:c r="D201" s="77"/>
      <x:c r="E201" s="77"/>
      <x:c r="F201" s="77"/>
      <x:c r="G201" s="77"/>
      <x:c r="H201" s="77"/>
      <x:c r="I201" s="77"/>
      <x:c r="J201" s="80"/>
      <x:c r="K201" s="77"/>
      <x:c r="L201" s="83"/>
      <x:c r="M201" s="83"/>
      <x:c r="N201" s="83"/>
      <x:c r="O201" s="77"/>
      <x:c r="P201" s="77"/>
      <x:c r="Q201" s="77"/>
    </x:row>
    <x:row r="202">
      <x:c r="A202" s="83"/>
      <x:c r="B202" s="77"/>
      <x:c r="C202" s="77"/>
      <x:c r="D202" s="77"/>
      <x:c r="E202" s="77"/>
      <x:c r="F202" s="77"/>
      <x:c r="G202" s="77"/>
      <x:c r="H202" s="77"/>
      <x:c r="I202" s="77"/>
      <x:c r="J202" s="80"/>
      <x:c r="K202" s="77"/>
      <x:c r="L202" s="83"/>
      <x:c r="M202" s="83"/>
      <x:c r="N202" s="83"/>
      <x:c r="O202" s="77"/>
      <x:c r="P202" s="77"/>
      <x:c r="Q202" s="77"/>
    </x:row>
    <x:row r="203">
      <x:c r="A203" s="83"/>
      <x:c r="B203" s="77"/>
      <x:c r="C203" s="77"/>
      <x:c r="D203" s="77"/>
      <x:c r="E203" s="77"/>
      <x:c r="F203" s="77"/>
      <x:c r="G203" s="77"/>
      <x:c r="H203" s="77"/>
      <x:c r="I203" s="77"/>
      <x:c r="J203" s="80"/>
      <x:c r="K203" s="77"/>
      <x:c r="L203" s="83"/>
      <x:c r="M203" s="83"/>
      <x:c r="N203" s="83"/>
      <x:c r="O203" s="77"/>
      <x:c r="P203" s="77"/>
      <x:c r="Q203" s="77"/>
    </x:row>
    <x:row r="204">
      <x:c r="A204" s="83"/>
      <x:c r="B204" s="77"/>
      <x:c r="C204" s="77"/>
      <x:c r="D204" s="77"/>
      <x:c r="E204" s="77"/>
      <x:c r="F204" s="77"/>
      <x:c r="G204" s="77"/>
      <x:c r="H204" s="77"/>
      <x:c r="I204" s="77"/>
      <x:c r="J204" s="80"/>
      <x:c r="K204" s="77"/>
      <x:c r="L204" s="83"/>
      <x:c r="M204" s="83"/>
      <x:c r="N204" s="83"/>
      <x:c r="O204" s="77"/>
      <x:c r="P204" s="77"/>
      <x:c r="Q204" s="77"/>
    </x:row>
    <x:row r="205">
      <x:c r="A205" s="83"/>
      <x:c r="B205" s="77"/>
      <x:c r="C205" s="77"/>
      <x:c r="D205" s="77"/>
      <x:c r="E205" s="77"/>
      <x:c r="F205" s="77"/>
      <x:c r="G205" s="77"/>
      <x:c r="H205" s="77"/>
      <x:c r="I205" s="77"/>
      <x:c r="J205" s="80"/>
      <x:c r="K205" s="77"/>
      <x:c r="L205" s="83"/>
      <x:c r="M205" s="83"/>
      <x:c r="N205" s="83"/>
      <x:c r="O205" s="77"/>
      <x:c r="P205" s="77"/>
      <x:c r="Q205" s="77"/>
    </x:row>
    <x:row r="206">
      <x:c r="A206" s="83"/>
      <x:c r="B206" s="77"/>
      <x:c r="C206" s="77"/>
      <x:c r="D206" s="77"/>
      <x:c r="E206" s="77"/>
      <x:c r="F206" s="77"/>
      <x:c r="G206" s="77"/>
      <x:c r="H206" s="77"/>
      <x:c r="I206" s="77"/>
      <x:c r="J206" s="80"/>
      <x:c r="K206" s="77"/>
      <x:c r="L206" s="83"/>
      <x:c r="M206" s="83"/>
      <x:c r="N206" s="83"/>
      <x:c r="O206" s="77"/>
      <x:c r="P206" s="77"/>
      <x:c r="Q206" s="77"/>
    </x:row>
    <x:row r="207">
      <x:c r="A207" s="83"/>
      <x:c r="B207" s="77"/>
      <x:c r="C207" s="77"/>
      <x:c r="D207" s="77"/>
      <x:c r="E207" s="77"/>
      <x:c r="F207" s="77"/>
      <x:c r="G207" s="77"/>
      <x:c r="H207" s="77"/>
      <x:c r="I207" s="77"/>
      <x:c r="J207" s="80"/>
      <x:c r="K207" s="77"/>
      <x:c r="L207" s="83"/>
      <x:c r="M207" s="83"/>
      <x:c r="N207" s="83"/>
      <x:c r="O207" s="77"/>
      <x:c r="P207" s="77"/>
      <x:c r="Q207" s="77"/>
    </x:row>
    <x:row r="208">
      <x:c r="A208" s="83"/>
      <x:c r="B208" s="77"/>
      <x:c r="C208" s="77"/>
      <x:c r="D208" s="77"/>
      <x:c r="E208" s="77"/>
      <x:c r="F208" s="77"/>
      <x:c r="G208" s="77"/>
      <x:c r="H208" s="77"/>
      <x:c r="I208" s="77"/>
      <x:c r="J208" s="80"/>
      <x:c r="K208" s="77"/>
      <x:c r="L208" s="83"/>
      <x:c r="M208" s="83"/>
      <x:c r="N208" s="83"/>
      <x:c r="O208" s="77"/>
      <x:c r="P208" s="77"/>
      <x:c r="Q208" s="77"/>
    </x:row>
    <x:row r="209">
      <x:c r="A209" s="83"/>
      <x:c r="B209" s="77"/>
      <x:c r="C209" s="77"/>
      <x:c r="D209" s="77"/>
      <x:c r="E209" s="77"/>
      <x:c r="F209" s="77"/>
      <x:c r="G209" s="77"/>
      <x:c r="H209" s="77"/>
      <x:c r="I209" s="77"/>
      <x:c r="J209" s="80"/>
      <x:c r="K209" s="77"/>
      <x:c r="L209" s="83"/>
      <x:c r="M209" s="83"/>
      <x:c r="N209" s="83"/>
      <x:c r="O209" s="77"/>
      <x:c r="P209" s="77"/>
      <x:c r="Q209" s="77"/>
    </x:row>
    <x:row r="210">
      <x:c r="A210" s="83"/>
      <x:c r="B210" s="77"/>
      <x:c r="C210" s="77"/>
      <x:c r="D210" s="77"/>
      <x:c r="E210" s="77"/>
      <x:c r="F210" s="77"/>
      <x:c r="G210" s="77"/>
      <x:c r="H210" s="77"/>
      <x:c r="I210" s="77"/>
      <x:c r="J210" s="80"/>
      <x:c r="K210" s="77"/>
      <x:c r="L210" s="83"/>
      <x:c r="M210" s="83"/>
      <x:c r="N210" s="83"/>
      <x:c r="O210" s="77"/>
      <x:c r="P210" s="77"/>
      <x:c r="Q210" s="77"/>
    </x:row>
    <x:row r="211">
      <x:c r="A211" s="83"/>
      <x:c r="B211" s="77"/>
      <x:c r="C211" s="77"/>
      <x:c r="D211" s="77"/>
      <x:c r="E211" s="77"/>
      <x:c r="F211" s="77"/>
      <x:c r="G211" s="77"/>
      <x:c r="H211" s="77"/>
      <x:c r="I211" s="77"/>
      <x:c r="J211" s="80"/>
      <x:c r="K211" s="77"/>
      <x:c r="L211" s="83"/>
      <x:c r="M211" s="83"/>
      <x:c r="N211" s="83"/>
      <x:c r="O211" s="77"/>
      <x:c r="P211" s="77"/>
      <x:c r="Q211" s="77"/>
    </x:row>
    <x:row r="212">
      <x:c r="A212" s="83"/>
      <x:c r="B212" s="77"/>
      <x:c r="C212" s="77"/>
      <x:c r="D212" s="77"/>
      <x:c r="E212" s="77"/>
      <x:c r="F212" s="77"/>
      <x:c r="G212" s="77"/>
      <x:c r="H212" s="77"/>
      <x:c r="I212" s="77"/>
      <x:c r="J212" s="80"/>
      <x:c r="K212" s="77"/>
      <x:c r="L212" s="83"/>
      <x:c r="M212" s="83"/>
      <x:c r="N212" s="83"/>
      <x:c r="O212" s="77"/>
      <x:c r="P212" s="77"/>
      <x:c r="Q212" s="77"/>
    </x:row>
    <x:row r="213">
      <x:c r="A213" s="83"/>
      <x:c r="B213" s="77"/>
      <x:c r="C213" s="77"/>
      <x:c r="D213" s="77"/>
      <x:c r="E213" s="77"/>
      <x:c r="F213" s="77"/>
      <x:c r="G213" s="77"/>
      <x:c r="H213" s="77"/>
      <x:c r="I213" s="77"/>
      <x:c r="J213" s="80"/>
      <x:c r="K213" s="77"/>
      <x:c r="L213" s="83"/>
      <x:c r="M213" s="83"/>
      <x:c r="N213" s="83"/>
      <x:c r="O213" s="77"/>
      <x:c r="P213" s="77"/>
      <x:c r="Q213" s="77"/>
    </x:row>
    <x:row r="214">
      <x:c r="A214" s="83"/>
      <x:c r="B214" s="77"/>
      <x:c r="C214" s="77"/>
      <x:c r="D214" s="77"/>
      <x:c r="E214" s="77"/>
      <x:c r="F214" s="77"/>
      <x:c r="G214" s="77"/>
      <x:c r="H214" s="77"/>
      <x:c r="I214" s="77"/>
      <x:c r="J214" s="80"/>
      <x:c r="K214" s="77"/>
      <x:c r="L214" s="83"/>
      <x:c r="M214" s="83"/>
      <x:c r="N214" s="83"/>
      <x:c r="O214" s="77"/>
      <x:c r="P214" s="77"/>
      <x:c r="Q214" s="77"/>
    </x:row>
    <x:row r="215">
      <x:c r="A215" s="83"/>
      <x:c r="B215" s="77"/>
      <x:c r="C215" s="77"/>
      <x:c r="D215" s="77"/>
      <x:c r="E215" s="77"/>
      <x:c r="F215" s="77"/>
      <x:c r="G215" s="77"/>
      <x:c r="H215" s="77"/>
      <x:c r="I215" s="77"/>
      <x:c r="J215" s="80"/>
      <x:c r="K215" s="77"/>
      <x:c r="L215" s="83"/>
      <x:c r="M215" s="83"/>
      <x:c r="N215" s="83"/>
      <x:c r="O215" s="77"/>
      <x:c r="P215" s="77"/>
      <x:c r="Q215" s="77"/>
    </x:row>
    <x:row r="216">
      <x:c r="A216" s="83"/>
      <x:c r="B216" s="77"/>
      <x:c r="C216" s="77"/>
      <x:c r="D216" s="77"/>
      <x:c r="E216" s="77"/>
      <x:c r="F216" s="77"/>
      <x:c r="G216" s="77"/>
      <x:c r="H216" s="77"/>
      <x:c r="I216" s="77"/>
      <x:c r="J216" s="80"/>
      <x:c r="K216" s="77"/>
      <x:c r="L216" s="83"/>
      <x:c r="M216" s="83"/>
      <x:c r="N216" s="83"/>
      <x:c r="O216" s="77"/>
      <x:c r="P216" s="77"/>
      <x:c r="Q216" s="77"/>
    </x:row>
    <x:row r="217">
      <x:c r="A217" s="83"/>
      <x:c r="B217" s="77"/>
      <x:c r="C217" s="77"/>
      <x:c r="D217" s="77"/>
      <x:c r="E217" s="77"/>
      <x:c r="F217" s="77"/>
      <x:c r="G217" s="77"/>
      <x:c r="H217" s="77"/>
      <x:c r="I217" s="77"/>
      <x:c r="J217" s="80"/>
      <x:c r="K217" s="77"/>
      <x:c r="L217" s="83"/>
      <x:c r="M217" s="83"/>
      <x:c r="N217" s="83"/>
      <x:c r="O217" s="77"/>
      <x:c r="P217" s="77"/>
      <x:c r="Q217" s="77"/>
    </x:row>
    <x:row r="218">
      <x:c r="A218" s="83"/>
      <x:c r="B218" s="77"/>
      <x:c r="C218" s="77"/>
      <x:c r="D218" s="77"/>
      <x:c r="E218" s="77"/>
      <x:c r="F218" s="77"/>
      <x:c r="G218" s="77"/>
      <x:c r="H218" s="77"/>
      <x:c r="I218" s="77"/>
      <x:c r="J218" s="80"/>
      <x:c r="K218" s="77"/>
      <x:c r="L218" s="83"/>
      <x:c r="M218" s="83"/>
      <x:c r="N218" s="83"/>
      <x:c r="O218" s="77"/>
      <x:c r="P218" s="77"/>
      <x:c r="Q218" s="77"/>
    </x:row>
    <x:row r="219">
      <x:c r="A219" s="83"/>
      <x:c r="B219" s="77"/>
      <x:c r="C219" s="77"/>
      <x:c r="D219" s="77"/>
      <x:c r="E219" s="77"/>
      <x:c r="F219" s="77"/>
      <x:c r="G219" s="77"/>
      <x:c r="H219" s="77"/>
      <x:c r="I219" s="77"/>
      <x:c r="J219" s="80"/>
      <x:c r="K219" s="77"/>
      <x:c r="L219" s="83"/>
      <x:c r="M219" s="83"/>
      <x:c r="N219" s="83"/>
      <x:c r="O219" s="77"/>
      <x:c r="P219" s="77"/>
      <x:c r="Q219" s="77"/>
    </x:row>
    <x:row r="220">
      <x:c r="A220" s="83"/>
      <x:c r="B220" s="77"/>
      <x:c r="C220" s="77"/>
      <x:c r="D220" s="77"/>
      <x:c r="E220" s="77"/>
      <x:c r="F220" s="77"/>
      <x:c r="G220" s="77"/>
      <x:c r="H220" s="77"/>
      <x:c r="I220" s="77"/>
      <x:c r="J220" s="80"/>
      <x:c r="K220" s="77"/>
      <x:c r="L220" s="83"/>
      <x:c r="M220" s="83"/>
      <x:c r="N220" s="83"/>
      <x:c r="O220" s="77"/>
      <x:c r="P220" s="77"/>
      <x:c r="Q220" s="77"/>
    </x:row>
    <x:row r="221">
      <x:c r="A221" s="83"/>
      <x:c r="B221" s="77"/>
      <x:c r="C221" s="77"/>
      <x:c r="D221" s="77"/>
      <x:c r="E221" s="77"/>
      <x:c r="F221" s="77"/>
      <x:c r="G221" s="77"/>
      <x:c r="H221" s="77"/>
      <x:c r="I221" s="77"/>
      <x:c r="J221" s="80"/>
      <x:c r="K221" s="77"/>
      <x:c r="L221" s="83"/>
      <x:c r="M221" s="83"/>
      <x:c r="N221" s="83"/>
      <x:c r="O221" s="77"/>
      <x:c r="P221" s="77"/>
      <x:c r="Q221" s="77"/>
    </x:row>
    <x:row r="222">
      <x:c r="A222" s="83"/>
      <x:c r="B222" s="77"/>
      <x:c r="C222" s="77"/>
      <x:c r="D222" s="77"/>
      <x:c r="E222" s="77"/>
      <x:c r="F222" s="77"/>
      <x:c r="G222" s="77"/>
      <x:c r="H222" s="77"/>
      <x:c r="I222" s="77"/>
      <x:c r="J222" s="80"/>
      <x:c r="K222" s="77"/>
      <x:c r="L222" s="83"/>
      <x:c r="M222" s="83"/>
      <x:c r="N222" s="83"/>
      <x:c r="O222" s="77"/>
      <x:c r="P222" s="77"/>
      <x:c r="Q222" s="77"/>
    </x:row>
    <x:row r="223">
      <x:c r="A223" s="83"/>
      <x:c r="B223" s="77"/>
      <x:c r="C223" s="77"/>
      <x:c r="D223" s="77"/>
      <x:c r="E223" s="77"/>
      <x:c r="F223" s="77"/>
      <x:c r="G223" s="77"/>
      <x:c r="H223" s="77"/>
      <x:c r="I223" s="77"/>
      <x:c r="J223" s="80"/>
      <x:c r="K223" s="77"/>
      <x:c r="L223" s="83"/>
      <x:c r="M223" s="83"/>
      <x:c r="N223" s="83"/>
      <x:c r="O223" s="77"/>
      <x:c r="P223" s="77"/>
      <x:c r="Q223" s="77"/>
    </x:row>
    <x:row r="224">
      <x:c r="A224" s="83"/>
      <x:c r="B224" s="77"/>
      <x:c r="C224" s="77"/>
      <x:c r="D224" s="77"/>
      <x:c r="E224" s="77"/>
      <x:c r="F224" s="77"/>
      <x:c r="G224" s="77"/>
      <x:c r="H224" s="77"/>
      <x:c r="I224" s="77"/>
      <x:c r="J224" s="80"/>
      <x:c r="K224" s="77"/>
      <x:c r="L224" s="83"/>
      <x:c r="M224" s="83"/>
      <x:c r="N224" s="83"/>
      <x:c r="O224" s="77"/>
      <x:c r="P224" s="77"/>
      <x:c r="Q224" s="77"/>
    </x:row>
    <x:row r="225">
      <x:c r="A225" s="83"/>
      <x:c r="B225" s="77"/>
      <x:c r="C225" s="77"/>
      <x:c r="D225" s="77"/>
      <x:c r="E225" s="77"/>
      <x:c r="F225" s="77"/>
      <x:c r="G225" s="77"/>
      <x:c r="H225" s="77"/>
      <x:c r="I225" s="77"/>
      <x:c r="J225" s="80"/>
      <x:c r="K225" s="77"/>
      <x:c r="L225" s="83"/>
      <x:c r="M225" s="83"/>
      <x:c r="N225" s="83"/>
      <x:c r="O225" s="77"/>
      <x:c r="P225" s="77"/>
      <x:c r="Q225" s="77"/>
    </x:row>
    <x:row r="226">
      <x:c r="A226" s="83"/>
      <x:c r="B226" s="77"/>
      <x:c r="C226" s="77"/>
      <x:c r="D226" s="77"/>
      <x:c r="E226" s="77"/>
      <x:c r="F226" s="77"/>
      <x:c r="G226" s="77"/>
      <x:c r="H226" s="77"/>
      <x:c r="I226" s="77"/>
      <x:c r="J226" s="80"/>
      <x:c r="K226" s="77"/>
      <x:c r="L226" s="83"/>
      <x:c r="M226" s="83"/>
      <x:c r="N226" s="83"/>
      <x:c r="O226" s="77"/>
      <x:c r="P226" s="77"/>
      <x:c r="Q226" s="77"/>
    </x:row>
    <x:row r="227">
      <x:c r="A227" s="83"/>
      <x:c r="B227" s="77"/>
      <x:c r="C227" s="77"/>
      <x:c r="D227" s="77"/>
      <x:c r="E227" s="77"/>
      <x:c r="F227" s="77"/>
      <x:c r="G227" s="77"/>
      <x:c r="H227" s="77"/>
      <x:c r="I227" s="77"/>
      <x:c r="J227" s="80"/>
      <x:c r="K227" s="77"/>
      <x:c r="L227" s="83"/>
      <x:c r="M227" s="83"/>
      <x:c r="N227" s="83"/>
      <x:c r="O227" s="77"/>
      <x:c r="P227" s="77"/>
      <x:c r="Q227" s="77"/>
    </x:row>
    <x:row r="228">
      <x:c r="A228" s="83"/>
      <x:c r="B228" s="77"/>
      <x:c r="C228" s="77"/>
      <x:c r="D228" s="77"/>
      <x:c r="E228" s="77"/>
      <x:c r="F228" s="77"/>
      <x:c r="G228" s="77"/>
      <x:c r="H228" s="77"/>
      <x:c r="I228" s="77"/>
      <x:c r="J228" s="80"/>
      <x:c r="K228" s="77"/>
      <x:c r="L228" s="83"/>
      <x:c r="M228" s="83"/>
      <x:c r="N228" s="83"/>
      <x:c r="O228" s="77"/>
      <x:c r="P228" s="77"/>
      <x:c r="Q228" s="77"/>
    </x:row>
    <x:row r="229">
      <x:c r="A229" s="83"/>
      <x:c r="B229" s="77"/>
      <x:c r="C229" s="77"/>
      <x:c r="D229" s="77"/>
      <x:c r="E229" s="77"/>
      <x:c r="F229" s="77"/>
      <x:c r="G229" s="77"/>
      <x:c r="H229" s="77"/>
      <x:c r="I229" s="77"/>
      <x:c r="J229" s="80"/>
      <x:c r="K229" s="77"/>
      <x:c r="L229" s="83"/>
      <x:c r="M229" s="83"/>
      <x:c r="N229" s="83"/>
      <x:c r="O229" s="77"/>
      <x:c r="P229" s="77"/>
      <x:c r="Q229" s="77"/>
    </x:row>
    <x:row r="230">
      <x:c r="A230" s="83"/>
      <x:c r="B230" s="77"/>
      <x:c r="C230" s="77"/>
      <x:c r="D230" s="77"/>
      <x:c r="E230" s="77"/>
      <x:c r="F230" s="77"/>
      <x:c r="G230" s="77"/>
      <x:c r="H230" s="77"/>
      <x:c r="I230" s="77"/>
      <x:c r="J230" s="80"/>
      <x:c r="K230" s="77"/>
      <x:c r="L230" s="83"/>
      <x:c r="M230" s="83"/>
      <x:c r="N230" s="83"/>
      <x:c r="O230" s="77"/>
      <x:c r="P230" s="77"/>
      <x:c r="Q230" s="77"/>
    </x:row>
    <x:row r="231">
      <x:c r="A231" s="83"/>
      <x:c r="B231" s="77"/>
      <x:c r="C231" s="77"/>
      <x:c r="D231" s="77"/>
      <x:c r="E231" s="77"/>
      <x:c r="F231" s="77"/>
      <x:c r="G231" s="77"/>
      <x:c r="H231" s="77"/>
      <x:c r="I231" s="77"/>
      <x:c r="J231" s="80"/>
      <x:c r="K231" s="77"/>
      <x:c r="L231" s="83"/>
      <x:c r="M231" s="83"/>
      <x:c r="N231" s="83"/>
      <x:c r="O231" s="77"/>
      <x:c r="P231" s="77"/>
      <x:c r="Q231" s="77"/>
    </x:row>
    <x:row r="232">
      <x:c r="A232" s="83"/>
      <x:c r="B232" s="77"/>
      <x:c r="C232" s="77"/>
      <x:c r="D232" s="77"/>
      <x:c r="E232" s="77"/>
      <x:c r="F232" s="77"/>
      <x:c r="G232" s="77"/>
      <x:c r="H232" s="77"/>
      <x:c r="I232" s="77"/>
      <x:c r="J232" s="80"/>
      <x:c r="K232" s="77"/>
      <x:c r="L232" s="83"/>
      <x:c r="M232" s="83"/>
      <x:c r="N232" s="83"/>
      <x:c r="O232" s="77"/>
      <x:c r="P232" s="77"/>
      <x:c r="Q232" s="77"/>
    </x:row>
    <x:row r="233">
      <x:c r="A233" s="83"/>
      <x:c r="B233" s="77"/>
      <x:c r="C233" s="77"/>
      <x:c r="D233" s="77"/>
      <x:c r="E233" s="77"/>
      <x:c r="F233" s="77"/>
      <x:c r="G233" s="77"/>
      <x:c r="H233" s="77"/>
      <x:c r="I233" s="77"/>
      <x:c r="J233" s="80"/>
      <x:c r="K233" s="77"/>
      <x:c r="L233" s="83"/>
      <x:c r="M233" s="83"/>
      <x:c r="N233" s="83"/>
      <x:c r="O233" s="77"/>
      <x:c r="P233" s="77"/>
      <x:c r="Q233" s="77"/>
    </x:row>
    <x:row r="234">
      <x:c r="A234" s="83"/>
      <x:c r="B234" s="77"/>
      <x:c r="C234" s="77"/>
      <x:c r="D234" s="77"/>
      <x:c r="E234" s="77"/>
      <x:c r="F234" s="77"/>
      <x:c r="G234" s="77"/>
      <x:c r="H234" s="77"/>
      <x:c r="I234" s="77"/>
      <x:c r="J234" s="80"/>
      <x:c r="K234" s="77"/>
      <x:c r="L234" s="83"/>
      <x:c r="M234" s="83"/>
      <x:c r="N234" s="83"/>
      <x:c r="O234" s="77"/>
      <x:c r="P234" s="77"/>
      <x:c r="Q234" s="77"/>
    </x:row>
    <x:row r="235">
      <x:c r="A235" s="83"/>
      <x:c r="B235" s="77"/>
      <x:c r="C235" s="77"/>
      <x:c r="D235" s="77"/>
      <x:c r="E235" s="77"/>
      <x:c r="F235" s="77"/>
      <x:c r="G235" s="77"/>
      <x:c r="H235" s="77"/>
      <x:c r="I235" s="77"/>
      <x:c r="J235" s="80"/>
      <x:c r="K235" s="77"/>
      <x:c r="L235" s="83"/>
      <x:c r="M235" s="83"/>
      <x:c r="N235" s="83"/>
      <x:c r="O235" s="77"/>
      <x:c r="P235" s="77"/>
      <x:c r="Q235" s="77"/>
    </x:row>
    <x:row r="236">
      <x:c r="A236" s="83"/>
      <x:c r="B236" s="77"/>
      <x:c r="C236" s="77"/>
      <x:c r="D236" s="77"/>
      <x:c r="E236" s="77"/>
      <x:c r="F236" s="77"/>
      <x:c r="G236" s="77"/>
      <x:c r="H236" s="77"/>
      <x:c r="I236" s="77"/>
      <x:c r="J236" s="80"/>
      <x:c r="K236" s="77"/>
      <x:c r="L236" s="83"/>
      <x:c r="M236" s="83"/>
      <x:c r="N236" s="83"/>
      <x:c r="O236" s="77"/>
      <x:c r="P236" s="77"/>
      <x:c r="Q236" s="77"/>
    </x:row>
    <x:row r="237">
      <x:c r="A237" s="83"/>
      <x:c r="B237" s="77"/>
      <x:c r="C237" s="77"/>
      <x:c r="D237" s="77"/>
      <x:c r="E237" s="77"/>
      <x:c r="F237" s="77"/>
      <x:c r="G237" s="77"/>
      <x:c r="H237" s="77"/>
      <x:c r="I237" s="77"/>
      <x:c r="J237" s="80"/>
      <x:c r="K237" s="77"/>
      <x:c r="L237" s="83"/>
      <x:c r="M237" s="83"/>
      <x:c r="N237" s="83"/>
      <x:c r="O237" s="77"/>
      <x:c r="P237" s="77"/>
      <x:c r="Q237" s="77"/>
    </x:row>
    <x:row r="238">
      <x:c r="A238" s="83"/>
      <x:c r="B238" s="77"/>
      <x:c r="C238" s="77"/>
      <x:c r="D238" s="77"/>
      <x:c r="E238" s="77"/>
      <x:c r="F238" s="77"/>
      <x:c r="G238" s="77"/>
      <x:c r="H238" s="77"/>
      <x:c r="I238" s="77"/>
      <x:c r="J238" s="80"/>
      <x:c r="K238" s="77"/>
      <x:c r="L238" s="83"/>
      <x:c r="M238" s="83"/>
      <x:c r="N238" s="83"/>
      <x:c r="O238" s="77"/>
      <x:c r="P238" s="77"/>
      <x:c r="Q238" s="77"/>
    </x:row>
    <x:row r="239">
      <x:c r="A239" s="83"/>
      <x:c r="B239" s="77"/>
      <x:c r="C239" s="77"/>
      <x:c r="D239" s="77"/>
      <x:c r="E239" s="77"/>
      <x:c r="F239" s="77"/>
      <x:c r="G239" s="77"/>
      <x:c r="H239" s="77"/>
      <x:c r="I239" s="77"/>
      <x:c r="J239" s="80"/>
      <x:c r="K239" s="77"/>
      <x:c r="L239" s="83"/>
      <x:c r="M239" s="83"/>
      <x:c r="N239" s="83"/>
      <x:c r="O239" s="77"/>
      <x:c r="P239" s="77"/>
      <x:c r="Q239" s="77"/>
    </x:row>
    <x:row r="240">
      <x:c r="A240" s="83"/>
      <x:c r="B240" s="77"/>
      <x:c r="C240" s="77"/>
      <x:c r="D240" s="77"/>
      <x:c r="E240" s="77"/>
      <x:c r="F240" s="77"/>
      <x:c r="G240" s="77"/>
      <x:c r="H240" s="77"/>
      <x:c r="I240" s="77"/>
      <x:c r="J240" s="80"/>
      <x:c r="K240" s="77"/>
      <x:c r="L240" s="83"/>
      <x:c r="M240" s="83"/>
      <x:c r="N240" s="83"/>
      <x:c r="O240" s="77"/>
      <x:c r="P240" s="77"/>
      <x:c r="Q240" s="77"/>
    </x:row>
    <x:row r="241">
      <x:c r="A241" s="83"/>
      <x:c r="B241" s="77"/>
      <x:c r="C241" s="77"/>
      <x:c r="D241" s="77"/>
      <x:c r="E241" s="77"/>
      <x:c r="F241" s="77"/>
      <x:c r="G241" s="77"/>
      <x:c r="H241" s="77"/>
      <x:c r="I241" s="77"/>
      <x:c r="J241" s="80"/>
      <x:c r="K241" s="77"/>
      <x:c r="L241" s="83"/>
      <x:c r="M241" s="83"/>
      <x:c r="N241" s="83"/>
      <x:c r="O241" s="77"/>
      <x:c r="P241" s="77"/>
      <x:c r="Q241" s="77"/>
    </x:row>
    <x:row r="242">
      <x:c r="A242" s="83"/>
      <x:c r="B242" s="77"/>
      <x:c r="C242" s="77"/>
      <x:c r="D242" s="77"/>
      <x:c r="E242" s="77"/>
      <x:c r="F242" s="77"/>
      <x:c r="G242" s="77"/>
      <x:c r="H242" s="77"/>
      <x:c r="I242" s="77"/>
      <x:c r="J242" s="80"/>
      <x:c r="K242" s="77"/>
      <x:c r="L242" s="83"/>
      <x:c r="M242" s="83"/>
      <x:c r="N242" s="83"/>
      <x:c r="O242" s="77"/>
      <x:c r="P242" s="77"/>
      <x:c r="Q242" s="77"/>
    </x:row>
    <x:row r="243">
      <x:c r="A243" s="83"/>
      <x:c r="B243" s="77"/>
      <x:c r="C243" s="77"/>
      <x:c r="D243" s="77"/>
      <x:c r="E243" s="77"/>
      <x:c r="F243" s="77"/>
      <x:c r="G243" s="77"/>
      <x:c r="H243" s="77"/>
      <x:c r="I243" s="77"/>
      <x:c r="J243" s="80"/>
      <x:c r="K243" s="77"/>
      <x:c r="L243" s="83"/>
      <x:c r="M243" s="83"/>
      <x:c r="N243" s="83"/>
      <x:c r="O243" s="77"/>
      <x:c r="P243" s="77"/>
      <x:c r="Q243" s="77"/>
    </x:row>
    <x:row r="244">
      <x:c r="A244" s="83"/>
      <x:c r="B244" s="77"/>
      <x:c r="C244" s="77"/>
      <x:c r="D244" s="77"/>
      <x:c r="E244" s="77"/>
      <x:c r="F244" s="77"/>
      <x:c r="G244" s="77"/>
      <x:c r="H244" s="77"/>
      <x:c r="I244" s="77"/>
      <x:c r="J244" s="80"/>
      <x:c r="K244" s="77"/>
      <x:c r="L244" s="83"/>
      <x:c r="M244" s="83"/>
      <x:c r="N244" s="83"/>
      <x:c r="O244" s="77"/>
      <x:c r="P244" s="77"/>
      <x:c r="Q244" s="77"/>
    </x:row>
    <x:row r="245">
      <x:c r="A245" s="83"/>
      <x:c r="B245" s="77"/>
      <x:c r="C245" s="77"/>
      <x:c r="D245" s="77"/>
      <x:c r="E245" s="77"/>
      <x:c r="F245" s="77"/>
      <x:c r="G245" s="77"/>
      <x:c r="H245" s="77"/>
      <x:c r="I245" s="77"/>
      <x:c r="J245" s="80"/>
      <x:c r="K245" s="77"/>
      <x:c r="L245" s="83"/>
      <x:c r="M245" s="83"/>
      <x:c r="N245" s="83"/>
      <x:c r="O245" s="77"/>
      <x:c r="P245" s="77"/>
      <x:c r="Q245" s="77"/>
    </x:row>
    <x:row r="246">
      <x:c r="A246" s="83"/>
      <x:c r="B246" s="77"/>
      <x:c r="C246" s="77"/>
      <x:c r="D246" s="77"/>
      <x:c r="E246" s="77"/>
      <x:c r="F246" s="77"/>
      <x:c r="G246" s="77"/>
      <x:c r="H246" s="77"/>
      <x:c r="I246" s="77"/>
      <x:c r="J246" s="80"/>
      <x:c r="K246" s="77"/>
      <x:c r="L246" s="83"/>
      <x:c r="M246" s="83"/>
      <x:c r="N246" s="83"/>
      <x:c r="O246" s="77"/>
      <x:c r="P246" s="77"/>
      <x:c r="Q246" s="77"/>
    </x:row>
    <x:row r="247">
      <x:c r="A247" s="83"/>
      <x:c r="B247" s="77"/>
      <x:c r="C247" s="77"/>
      <x:c r="D247" s="77"/>
      <x:c r="E247" s="77"/>
      <x:c r="F247" s="77"/>
      <x:c r="G247" s="77"/>
      <x:c r="H247" s="77"/>
      <x:c r="I247" s="77"/>
      <x:c r="J247" s="80"/>
      <x:c r="K247" s="77"/>
      <x:c r="L247" s="83"/>
      <x:c r="M247" s="83"/>
      <x:c r="N247" s="83"/>
      <x:c r="O247" s="77"/>
      <x:c r="P247" s="77"/>
      <x:c r="Q247" s="77"/>
    </x:row>
    <x:row r="248">
      <x:c r="A248" s="83"/>
      <x:c r="B248" s="77"/>
      <x:c r="C248" s="77"/>
      <x:c r="D248" s="77"/>
      <x:c r="E248" s="77"/>
      <x:c r="F248" s="77"/>
      <x:c r="G248" s="77"/>
      <x:c r="H248" s="77"/>
      <x:c r="I248" s="77"/>
      <x:c r="J248" s="80"/>
      <x:c r="K248" s="77"/>
      <x:c r="L248" s="83"/>
      <x:c r="M248" s="83"/>
      <x:c r="N248" s="83"/>
      <x:c r="O248" s="77"/>
      <x:c r="P248" s="77"/>
      <x:c r="Q248" s="77"/>
    </x:row>
    <x:row r="249">
      <x:c r="A249" s="83"/>
      <x:c r="B249" s="77"/>
      <x:c r="C249" s="77"/>
      <x:c r="D249" s="77"/>
      <x:c r="E249" s="77"/>
      <x:c r="F249" s="77"/>
      <x:c r="G249" s="77"/>
      <x:c r="H249" s="77"/>
      <x:c r="I249" s="77"/>
      <x:c r="J249" s="80"/>
      <x:c r="K249" s="77"/>
      <x:c r="L249" s="83"/>
      <x:c r="M249" s="83"/>
      <x:c r="N249" s="83"/>
      <x:c r="O249" s="77"/>
      <x:c r="P249" s="77"/>
      <x:c r="Q249" s="77"/>
    </x:row>
    <x:row r="250">
      <x:c r="A250" s="83"/>
      <x:c r="B250" s="77"/>
      <x:c r="C250" s="77"/>
      <x:c r="D250" s="77"/>
      <x:c r="E250" s="77"/>
      <x:c r="F250" s="77"/>
      <x:c r="G250" s="77"/>
      <x:c r="H250" s="77"/>
      <x:c r="I250" s="77"/>
      <x:c r="J250" s="80"/>
      <x:c r="K250" s="77"/>
      <x:c r="L250" s="83"/>
      <x:c r="M250" s="83"/>
      <x:c r="N250" s="83"/>
      <x:c r="O250" s="77"/>
      <x:c r="P250" s="77"/>
      <x:c r="Q250" s="77"/>
    </x:row>
    <x:row r="251">
      <x:c r="A251" s="83"/>
      <x:c r="B251" s="77"/>
      <x:c r="C251" s="77"/>
      <x:c r="D251" s="77"/>
      <x:c r="E251" s="77"/>
      <x:c r="F251" s="77"/>
      <x:c r="G251" s="77"/>
      <x:c r="H251" s="77"/>
      <x:c r="I251" s="77"/>
      <x:c r="J251" s="80"/>
      <x:c r="K251" s="77"/>
      <x:c r="L251" s="83"/>
      <x:c r="M251" s="83"/>
      <x:c r="N251" s="83"/>
      <x:c r="O251" s="77"/>
      <x:c r="P251" s="77"/>
      <x:c r="Q251" s="77"/>
    </x:row>
    <x:row r="252">
      <x:c r="A252" s="83"/>
      <x:c r="B252" s="77"/>
      <x:c r="C252" s="77"/>
      <x:c r="D252" s="77"/>
      <x:c r="E252" s="77"/>
      <x:c r="F252" s="77"/>
      <x:c r="G252" s="77"/>
      <x:c r="H252" s="77"/>
      <x:c r="I252" s="77"/>
      <x:c r="J252" s="80"/>
      <x:c r="K252" s="77"/>
      <x:c r="L252" s="83"/>
      <x:c r="M252" s="83"/>
      <x:c r="N252" s="83"/>
      <x:c r="O252" s="77"/>
      <x:c r="P252" s="77"/>
      <x:c r="Q252" s="77"/>
    </x:row>
    <x:row r="253">
      <x:c r="A253" s="83"/>
      <x:c r="B253" s="77"/>
      <x:c r="C253" s="77"/>
      <x:c r="D253" s="77"/>
      <x:c r="E253" s="77"/>
      <x:c r="F253" s="77"/>
      <x:c r="G253" s="77"/>
      <x:c r="H253" s="77"/>
      <x:c r="I253" s="77"/>
      <x:c r="J253" s="80"/>
      <x:c r="K253" s="77"/>
      <x:c r="L253" s="83"/>
      <x:c r="M253" s="83"/>
      <x:c r="N253" s="83"/>
      <x:c r="O253" s="77"/>
      <x:c r="P253" s="77"/>
      <x:c r="Q253" s="77"/>
    </x:row>
    <x:row r="254">
      <x:c r="A254" s="83"/>
      <x:c r="B254" s="77"/>
      <x:c r="C254" s="77"/>
      <x:c r="D254" s="77"/>
      <x:c r="E254" s="77"/>
      <x:c r="F254" s="77"/>
      <x:c r="G254" s="77"/>
      <x:c r="H254" s="77"/>
      <x:c r="I254" s="77"/>
      <x:c r="J254" s="80"/>
      <x:c r="K254" s="77"/>
      <x:c r="L254" s="83"/>
      <x:c r="M254" s="83"/>
      <x:c r="N254" s="83"/>
      <x:c r="O254" s="77"/>
      <x:c r="P254" s="77"/>
      <x:c r="Q254" s="77"/>
    </x:row>
    <x:row r="255">
      <x:c r="A255" s="83"/>
      <x:c r="B255" s="77"/>
      <x:c r="C255" s="77"/>
      <x:c r="D255" s="77"/>
      <x:c r="E255" s="77"/>
      <x:c r="F255" s="77"/>
      <x:c r="G255" s="77"/>
      <x:c r="H255" s="77"/>
      <x:c r="I255" s="77"/>
      <x:c r="J255" s="80"/>
      <x:c r="K255" s="77"/>
      <x:c r="L255" s="83"/>
      <x:c r="M255" s="83"/>
      <x:c r="N255" s="83"/>
      <x:c r="O255" s="77"/>
      <x:c r="P255" s="77"/>
      <x:c r="Q255" s="77"/>
    </x:row>
    <x:row r="256">
      <x:c r="A256" s="83"/>
      <x:c r="B256" s="77"/>
      <x:c r="C256" s="77"/>
      <x:c r="D256" s="77"/>
      <x:c r="E256" s="77"/>
      <x:c r="F256" s="77"/>
      <x:c r="G256" s="77"/>
      <x:c r="H256" s="77"/>
      <x:c r="I256" s="77"/>
      <x:c r="J256" s="80"/>
      <x:c r="K256" s="77"/>
      <x:c r="L256" s="83"/>
      <x:c r="M256" s="83"/>
      <x:c r="N256" s="83"/>
      <x:c r="O256" s="77"/>
      <x:c r="P256" s="77"/>
      <x:c r="Q256" s="77"/>
    </x:row>
    <x:row r="257">
      <x:c r="A257" s="83"/>
      <x:c r="B257" s="77"/>
      <x:c r="C257" s="77"/>
      <x:c r="D257" s="77"/>
      <x:c r="E257" s="77"/>
      <x:c r="F257" s="77"/>
      <x:c r="G257" s="77"/>
      <x:c r="H257" s="77"/>
      <x:c r="I257" s="77"/>
      <x:c r="J257" s="80"/>
      <x:c r="K257" s="77"/>
      <x:c r="L257" s="83"/>
      <x:c r="M257" s="83"/>
      <x:c r="N257" s="83"/>
      <x:c r="O257" s="77"/>
      <x:c r="P257" s="77"/>
      <x:c r="Q257" s="77"/>
    </x:row>
    <x:row r="258">
      <x:c r="A258" s="83"/>
      <x:c r="B258" s="77"/>
      <x:c r="C258" s="77"/>
      <x:c r="D258" s="77"/>
      <x:c r="E258" s="77"/>
      <x:c r="F258" s="77"/>
      <x:c r="G258" s="77"/>
      <x:c r="H258" s="77"/>
      <x:c r="I258" s="77"/>
      <x:c r="J258" s="80"/>
      <x:c r="K258" s="77"/>
      <x:c r="L258" s="83"/>
      <x:c r="M258" s="83"/>
      <x:c r="N258" s="83"/>
      <x:c r="O258" s="77"/>
      <x:c r="P258" s="77"/>
      <x:c r="Q258" s="77"/>
    </x:row>
    <x:row r="259">
      <x:c r="A259" s="83"/>
      <x:c r="B259" s="77"/>
      <x:c r="C259" s="77"/>
      <x:c r="D259" s="77"/>
      <x:c r="E259" s="77"/>
      <x:c r="F259" s="77"/>
      <x:c r="G259" s="77"/>
      <x:c r="H259" s="77"/>
      <x:c r="I259" s="77"/>
      <x:c r="J259" s="80"/>
      <x:c r="K259" s="77"/>
      <x:c r="L259" s="83"/>
      <x:c r="M259" s="83"/>
      <x:c r="N259" s="83"/>
      <x:c r="O259" s="77"/>
      <x:c r="P259" s="77"/>
      <x:c r="Q259" s="77"/>
    </x:row>
    <x:row r="260">
      <x:c r="A260" s="83"/>
      <x:c r="B260" s="77"/>
      <x:c r="C260" s="77"/>
      <x:c r="D260" s="77"/>
      <x:c r="E260" s="77"/>
      <x:c r="F260" s="77"/>
      <x:c r="G260" s="77"/>
      <x:c r="H260" s="77"/>
      <x:c r="I260" s="77"/>
      <x:c r="J260" s="80"/>
      <x:c r="K260" s="77"/>
      <x:c r="L260" s="83"/>
      <x:c r="M260" s="83"/>
      <x:c r="N260" s="83"/>
      <x:c r="O260" s="77"/>
      <x:c r="P260" s="77"/>
      <x:c r="Q260" s="77"/>
    </x:row>
    <x:row r="261">
      <x:c r="A261" s="83"/>
      <x:c r="B261" s="77"/>
      <x:c r="C261" s="77"/>
      <x:c r="D261" s="77"/>
      <x:c r="E261" s="77"/>
      <x:c r="F261" s="77"/>
      <x:c r="G261" s="77"/>
      <x:c r="H261" s="77"/>
      <x:c r="I261" s="77"/>
      <x:c r="J261" s="80"/>
      <x:c r="K261" s="77"/>
      <x:c r="L261" s="83"/>
      <x:c r="M261" s="83"/>
      <x:c r="N261" s="83"/>
      <x:c r="O261" s="77"/>
      <x:c r="P261" s="77"/>
      <x:c r="Q261" s="77"/>
    </x:row>
    <x:row r="262">
      <x:c r="A262" s="83"/>
      <x:c r="B262" s="77"/>
      <x:c r="C262" s="77"/>
      <x:c r="D262" s="77"/>
      <x:c r="E262" s="77"/>
      <x:c r="F262" s="77"/>
      <x:c r="G262" s="77"/>
      <x:c r="H262" s="77"/>
      <x:c r="I262" s="77"/>
      <x:c r="J262" s="80"/>
      <x:c r="K262" s="77"/>
      <x:c r="L262" s="83"/>
      <x:c r="M262" s="83"/>
      <x:c r="N262" s="83"/>
      <x:c r="O262" s="77"/>
      <x:c r="P262" s="77"/>
      <x:c r="Q262" s="77"/>
    </x:row>
    <x:row r="263">
      <x:c r="A263" s="83"/>
      <x:c r="B263" s="77"/>
      <x:c r="C263" s="77"/>
      <x:c r="D263" s="77"/>
      <x:c r="E263" s="77"/>
      <x:c r="F263" s="77"/>
      <x:c r="G263" s="77"/>
      <x:c r="H263" s="77"/>
      <x:c r="I263" s="77"/>
      <x:c r="J263" s="80"/>
      <x:c r="K263" s="77"/>
      <x:c r="L263" s="83"/>
      <x:c r="M263" s="83"/>
      <x:c r="N263" s="83"/>
      <x:c r="O263" s="77"/>
      <x:c r="P263" s="77"/>
      <x:c r="Q263" s="77"/>
    </x:row>
    <x:row r="264">
      <x:c r="A264" s="83"/>
      <x:c r="B264" s="77"/>
      <x:c r="C264" s="77"/>
      <x:c r="D264" s="77"/>
      <x:c r="E264" s="77"/>
      <x:c r="F264" s="77"/>
      <x:c r="G264" s="77"/>
      <x:c r="H264" s="77"/>
      <x:c r="I264" s="77"/>
      <x:c r="J264" s="80"/>
      <x:c r="K264" s="77"/>
      <x:c r="L264" s="83"/>
      <x:c r="M264" s="83"/>
      <x:c r="N264" s="83"/>
      <x:c r="O264" s="77"/>
      <x:c r="P264" s="77"/>
      <x:c r="Q264" s="77"/>
    </x:row>
    <x:row r="265">
      <x:c r="A265" s="83"/>
      <x:c r="B265" s="77"/>
      <x:c r="C265" s="77"/>
      <x:c r="D265" s="77"/>
      <x:c r="E265" s="77"/>
      <x:c r="F265" s="77"/>
      <x:c r="G265" s="77"/>
      <x:c r="H265" s="77"/>
      <x:c r="I265" s="77"/>
      <x:c r="J265" s="80"/>
      <x:c r="K265" s="77"/>
      <x:c r="L265" s="83"/>
      <x:c r="M265" s="83"/>
      <x:c r="N265" s="83"/>
      <x:c r="O265" s="77"/>
      <x:c r="P265" s="77"/>
      <x:c r="Q265" s="77"/>
    </x:row>
    <x:row r="266">
      <x:c r="A266" s="83"/>
      <x:c r="B266" s="77"/>
      <x:c r="C266" s="77"/>
      <x:c r="D266" s="77"/>
      <x:c r="E266" s="77"/>
      <x:c r="F266" s="77"/>
      <x:c r="G266" s="77"/>
      <x:c r="H266" s="77"/>
      <x:c r="I266" s="77"/>
      <x:c r="J266" s="80"/>
      <x:c r="K266" s="77"/>
      <x:c r="L266" s="83"/>
      <x:c r="M266" s="83"/>
      <x:c r="N266" s="83"/>
      <x:c r="O266" s="77"/>
      <x:c r="P266" s="77"/>
      <x:c r="Q266" s="77"/>
    </x:row>
    <x:row r="267">
      <x:c r="A267" s="83"/>
      <x:c r="B267" s="77"/>
      <x:c r="C267" s="77"/>
      <x:c r="D267" s="77"/>
      <x:c r="E267" s="77"/>
      <x:c r="F267" s="77"/>
      <x:c r="G267" s="77"/>
      <x:c r="H267" s="77"/>
      <x:c r="I267" s="77"/>
      <x:c r="J267" s="80"/>
      <x:c r="K267" s="77"/>
      <x:c r="L267" s="83"/>
      <x:c r="M267" s="83"/>
      <x:c r="N267" s="83"/>
      <x:c r="O267" s="77"/>
      <x:c r="P267" s="77"/>
      <x:c r="Q267" s="77"/>
    </x:row>
    <x:row r="268">
      <x:c r="A268" s="83"/>
      <x:c r="B268" s="77"/>
      <x:c r="C268" s="77"/>
      <x:c r="D268" s="77"/>
      <x:c r="E268" s="77"/>
      <x:c r="F268" s="77"/>
      <x:c r="G268" s="77"/>
      <x:c r="H268" s="77"/>
      <x:c r="I268" s="77"/>
      <x:c r="J268" s="80"/>
      <x:c r="K268" s="77"/>
      <x:c r="L268" s="83"/>
      <x:c r="M268" s="83"/>
      <x:c r="N268" s="83"/>
      <x:c r="O268" s="77"/>
      <x:c r="P268" s="77"/>
      <x:c r="Q268" s="77"/>
    </x:row>
    <x:row r="269">
      <x:c r="A269" s="83"/>
      <x:c r="B269" s="77"/>
      <x:c r="C269" s="77"/>
      <x:c r="D269" s="77"/>
      <x:c r="E269" s="77"/>
      <x:c r="F269" s="77"/>
      <x:c r="G269" s="77"/>
      <x:c r="H269" s="77"/>
      <x:c r="I269" s="77"/>
      <x:c r="J269" s="80"/>
      <x:c r="K269" s="77"/>
      <x:c r="L269" s="83"/>
      <x:c r="M269" s="83"/>
      <x:c r="N269" s="83"/>
      <x:c r="O269" s="77"/>
      <x:c r="P269" s="77"/>
      <x:c r="Q269" s="77"/>
    </x:row>
    <x:row r="270">
      <x:c r="A270" s="83"/>
      <x:c r="B270" s="77"/>
      <x:c r="C270" s="77"/>
      <x:c r="D270" s="77"/>
      <x:c r="E270" s="77"/>
      <x:c r="F270" s="77"/>
      <x:c r="G270" s="77"/>
      <x:c r="H270" s="77"/>
      <x:c r="I270" s="77"/>
      <x:c r="J270" s="80"/>
      <x:c r="K270" s="77"/>
      <x:c r="L270" s="83"/>
      <x:c r="M270" s="83"/>
      <x:c r="N270" s="83"/>
      <x:c r="O270" s="77"/>
      <x:c r="P270" s="77"/>
      <x:c r="Q270" s="77"/>
    </x:row>
    <x:row r="271">
      <x:c r="A271" s="83"/>
      <x:c r="B271" s="77"/>
      <x:c r="C271" s="77"/>
      <x:c r="D271" s="77"/>
      <x:c r="E271" s="77"/>
      <x:c r="F271" s="77"/>
      <x:c r="G271" s="77"/>
      <x:c r="H271" s="77"/>
      <x:c r="I271" s="77"/>
      <x:c r="J271" s="80"/>
      <x:c r="K271" s="77"/>
      <x:c r="L271" s="83"/>
      <x:c r="M271" s="83"/>
      <x:c r="N271" s="83"/>
      <x:c r="O271" s="77"/>
      <x:c r="P271" s="77"/>
      <x:c r="Q271" s="77"/>
    </x:row>
    <x:row r="272">
      <x:c r="A272" s="83"/>
      <x:c r="B272" s="77"/>
      <x:c r="C272" s="77"/>
      <x:c r="D272" s="77"/>
      <x:c r="E272" s="77"/>
      <x:c r="F272" s="77"/>
      <x:c r="G272" s="77"/>
      <x:c r="H272" s="77"/>
      <x:c r="I272" s="77"/>
      <x:c r="J272" s="80"/>
      <x:c r="K272" s="77"/>
      <x:c r="L272" s="83"/>
      <x:c r="M272" s="83"/>
      <x:c r="N272" s="83"/>
      <x:c r="O272" s="77"/>
      <x:c r="P272" s="77"/>
      <x:c r="Q272" s="77"/>
    </x:row>
    <x:row r="273">
      <x:c r="A273" s="83"/>
      <x:c r="B273" s="77"/>
      <x:c r="C273" s="77"/>
      <x:c r="D273" s="77"/>
      <x:c r="E273" s="77"/>
      <x:c r="F273" s="77"/>
      <x:c r="G273" s="77"/>
      <x:c r="H273" s="77"/>
      <x:c r="I273" s="77"/>
      <x:c r="J273" s="80"/>
      <x:c r="K273" s="77"/>
      <x:c r="L273" s="83"/>
      <x:c r="M273" s="83"/>
      <x:c r="N273" s="83"/>
      <x:c r="O273" s="77"/>
      <x:c r="P273" s="77"/>
      <x:c r="Q273" s="77"/>
    </x:row>
    <x:row r="274">
      <x:c r="A274" s="83"/>
      <x:c r="B274" s="77"/>
      <x:c r="C274" s="77"/>
      <x:c r="D274" s="77"/>
      <x:c r="E274" s="77"/>
      <x:c r="F274" s="77"/>
      <x:c r="G274" s="77"/>
      <x:c r="H274" s="77"/>
      <x:c r="I274" s="77"/>
      <x:c r="J274" s="80"/>
      <x:c r="K274" s="77"/>
      <x:c r="L274" s="83"/>
      <x:c r="M274" s="83"/>
      <x:c r="N274" s="83"/>
      <x:c r="O274" s="77"/>
      <x:c r="P274" s="77"/>
      <x:c r="Q274" s="77"/>
    </x:row>
    <x:row r="275">
      <x:c r="A275" s="83"/>
      <x:c r="B275" s="77"/>
      <x:c r="C275" s="77"/>
      <x:c r="D275" s="77"/>
      <x:c r="E275" s="77"/>
      <x:c r="F275" s="77"/>
      <x:c r="G275" s="77"/>
      <x:c r="H275" s="77"/>
      <x:c r="I275" s="77"/>
      <x:c r="J275" s="80"/>
      <x:c r="K275" s="77"/>
      <x:c r="L275" s="83"/>
      <x:c r="M275" s="83"/>
      <x:c r="N275" s="83"/>
      <x:c r="O275" s="77"/>
      <x:c r="P275" s="77"/>
      <x:c r="Q275" s="77"/>
    </x:row>
    <x:row r="276">
      <x:c r="A276" s="83"/>
      <x:c r="B276" s="77"/>
      <x:c r="C276" s="77"/>
      <x:c r="D276" s="77"/>
      <x:c r="E276" s="77"/>
      <x:c r="F276" s="77"/>
      <x:c r="G276" s="77"/>
      <x:c r="H276" s="77"/>
      <x:c r="I276" s="77"/>
      <x:c r="J276" s="80"/>
      <x:c r="K276" s="77"/>
      <x:c r="L276" s="83"/>
      <x:c r="M276" s="83"/>
      <x:c r="N276" s="83"/>
      <x:c r="O276" s="77"/>
      <x:c r="P276" s="77"/>
      <x:c r="Q276" s="77"/>
    </x:row>
    <x:row r="277">
      <x:c r="A277" s="83"/>
      <x:c r="B277" s="77"/>
      <x:c r="C277" s="77"/>
      <x:c r="D277" s="77"/>
      <x:c r="E277" s="77"/>
      <x:c r="F277" s="77"/>
      <x:c r="G277" s="77"/>
      <x:c r="H277" s="77"/>
      <x:c r="I277" s="77"/>
      <x:c r="J277" s="80"/>
      <x:c r="K277" s="77"/>
      <x:c r="L277" s="83"/>
      <x:c r="M277" s="83"/>
      <x:c r="N277" s="83"/>
      <x:c r="O277" s="77"/>
      <x:c r="P277" s="77"/>
      <x:c r="Q277" s="77"/>
    </x:row>
    <x:row r="278">
      <x:c r="A278" s="83"/>
      <x:c r="B278" s="77"/>
      <x:c r="C278" s="77"/>
      <x:c r="D278" s="77"/>
      <x:c r="E278" s="77"/>
      <x:c r="F278" s="77"/>
      <x:c r="G278" s="77"/>
      <x:c r="H278" s="77"/>
      <x:c r="I278" s="77"/>
      <x:c r="J278" s="80"/>
      <x:c r="K278" s="77"/>
      <x:c r="L278" s="83"/>
      <x:c r="M278" s="83"/>
      <x:c r="N278" s="83"/>
      <x:c r="O278" s="77"/>
      <x:c r="P278" s="77"/>
      <x:c r="Q278" s="77"/>
    </x:row>
    <x:row r="279">
      <x:c r="A279" s="83"/>
      <x:c r="B279" s="77"/>
      <x:c r="C279" s="77"/>
      <x:c r="D279" s="77"/>
      <x:c r="E279" s="77"/>
      <x:c r="F279" s="77"/>
      <x:c r="G279" s="77"/>
      <x:c r="H279" s="77"/>
      <x:c r="I279" s="77"/>
      <x:c r="J279" s="80"/>
      <x:c r="K279" s="77"/>
      <x:c r="L279" s="83"/>
      <x:c r="M279" s="83"/>
      <x:c r="N279" s="83"/>
      <x:c r="O279" s="77"/>
      <x:c r="P279" s="77"/>
      <x:c r="Q279" s="77"/>
    </x:row>
    <x:row r="280">
      <x:c r="A280" s="83"/>
      <x:c r="B280" s="77"/>
      <x:c r="C280" s="77"/>
      <x:c r="D280" s="77"/>
      <x:c r="E280" s="77"/>
      <x:c r="F280" s="77"/>
      <x:c r="G280" s="77"/>
      <x:c r="H280" s="77"/>
      <x:c r="I280" s="77"/>
      <x:c r="J280" s="80"/>
      <x:c r="K280" s="77"/>
      <x:c r="L280" s="83"/>
      <x:c r="M280" s="83"/>
      <x:c r="N280" s="83"/>
      <x:c r="O280" s="77"/>
      <x:c r="P280" s="77"/>
      <x:c r="Q280" s="77"/>
    </x:row>
    <x:row r="281">
      <x:c r="A281" s="83"/>
      <x:c r="B281" s="77"/>
      <x:c r="C281" s="77"/>
      <x:c r="D281" s="77"/>
      <x:c r="E281" s="77"/>
      <x:c r="F281" s="77"/>
      <x:c r="G281" s="77"/>
      <x:c r="H281" s="77"/>
      <x:c r="I281" s="77"/>
      <x:c r="J281" s="80"/>
      <x:c r="K281" s="77"/>
      <x:c r="L281" s="83"/>
      <x:c r="M281" s="83"/>
      <x:c r="N281" s="83"/>
      <x:c r="O281" s="77"/>
      <x:c r="P281" s="77"/>
      <x:c r="Q281" s="77"/>
    </x:row>
    <x:row r="282">
      <x:c r="A282" s="83"/>
      <x:c r="B282" s="77"/>
      <x:c r="C282" s="77"/>
      <x:c r="D282" s="77"/>
      <x:c r="E282" s="77"/>
      <x:c r="F282" s="77"/>
      <x:c r="G282" s="77"/>
      <x:c r="H282" s="77"/>
      <x:c r="I282" s="77"/>
      <x:c r="J282" s="80"/>
      <x:c r="K282" s="77"/>
      <x:c r="L282" s="83"/>
      <x:c r="M282" s="83"/>
      <x:c r="N282" s="83"/>
      <x:c r="O282" s="77"/>
      <x:c r="P282" s="77"/>
      <x:c r="Q282" s="77"/>
    </x:row>
    <x:row r="283">
      <x:c r="A283" s="83"/>
      <x:c r="B283" s="77"/>
      <x:c r="C283" s="77"/>
      <x:c r="D283" s="77"/>
      <x:c r="E283" s="77"/>
      <x:c r="F283" s="77"/>
      <x:c r="G283" s="77"/>
      <x:c r="H283" s="77"/>
      <x:c r="I283" s="77"/>
      <x:c r="J283" s="80"/>
      <x:c r="K283" s="77"/>
      <x:c r="L283" s="83"/>
      <x:c r="M283" s="83"/>
      <x:c r="N283" s="83"/>
      <x:c r="O283" s="77"/>
      <x:c r="P283" s="77"/>
      <x:c r="Q283" s="77"/>
    </x:row>
    <x:row r="284">
      <x:c r="A284" s="83"/>
      <x:c r="B284" s="77"/>
      <x:c r="C284" s="77"/>
      <x:c r="D284" s="77"/>
      <x:c r="E284" s="77"/>
      <x:c r="F284" s="77"/>
      <x:c r="G284" s="77"/>
      <x:c r="H284" s="77"/>
      <x:c r="I284" s="77"/>
      <x:c r="J284" s="80"/>
      <x:c r="K284" s="77"/>
      <x:c r="L284" s="83"/>
      <x:c r="M284" s="83"/>
      <x:c r="N284" s="83"/>
      <x:c r="O284" s="77"/>
      <x:c r="P284" s="77"/>
      <x:c r="Q284" s="77"/>
    </x:row>
    <x:row r="285">
      <x:c r="A285" s="83"/>
      <x:c r="B285" s="77"/>
      <x:c r="C285" s="77"/>
      <x:c r="D285" s="77"/>
      <x:c r="E285" s="77"/>
      <x:c r="F285" s="77"/>
      <x:c r="G285" s="77"/>
      <x:c r="H285" s="77"/>
      <x:c r="I285" s="77"/>
      <x:c r="J285" s="80"/>
      <x:c r="K285" s="77"/>
      <x:c r="L285" s="83"/>
      <x:c r="M285" s="83"/>
      <x:c r="N285" s="83"/>
      <x:c r="O285" s="77"/>
      <x:c r="P285" s="77"/>
      <x:c r="Q285" s="77"/>
    </x:row>
    <x:row r="286">
      <x:c r="A286" s="83"/>
      <x:c r="B286" s="77"/>
      <x:c r="C286" s="77"/>
      <x:c r="D286" s="77"/>
      <x:c r="E286" s="77"/>
      <x:c r="F286" s="77"/>
      <x:c r="G286" s="77"/>
      <x:c r="H286" s="77"/>
      <x:c r="I286" s="77"/>
      <x:c r="J286" s="80"/>
      <x:c r="K286" s="77"/>
      <x:c r="L286" s="83"/>
      <x:c r="M286" s="83"/>
      <x:c r="N286" s="83"/>
      <x:c r="O286" s="77"/>
      <x:c r="P286" s="77"/>
      <x:c r="Q286" s="77"/>
    </x:row>
    <x:row r="287">
      <x:c r="A287" s="83"/>
      <x:c r="B287" s="77"/>
      <x:c r="C287" s="77"/>
      <x:c r="D287" s="77"/>
      <x:c r="E287" s="77"/>
      <x:c r="F287" s="77"/>
      <x:c r="G287" s="77"/>
      <x:c r="H287" s="77"/>
      <x:c r="I287" s="77"/>
      <x:c r="J287" s="80"/>
      <x:c r="K287" s="77"/>
      <x:c r="L287" s="83"/>
      <x:c r="M287" s="83"/>
      <x:c r="N287" s="83"/>
      <x:c r="O287" s="77"/>
      <x:c r="P287" s="77"/>
      <x:c r="Q287" s="77"/>
    </x:row>
    <x:row r="288">
      <x:c r="A288" s="83"/>
      <x:c r="B288" s="77"/>
      <x:c r="C288" s="77"/>
      <x:c r="D288" s="77"/>
      <x:c r="E288" s="77"/>
      <x:c r="F288" s="77"/>
      <x:c r="G288" s="77"/>
      <x:c r="H288" s="77"/>
      <x:c r="I288" s="77"/>
      <x:c r="J288" s="80"/>
      <x:c r="K288" s="77"/>
      <x:c r="L288" s="83"/>
      <x:c r="M288" s="83"/>
      <x:c r="N288" s="83"/>
      <x:c r="O288" s="77"/>
      <x:c r="P288" s="77"/>
      <x:c r="Q288" s="77"/>
    </x:row>
    <x:row r="289">
      <x:c r="A289" s="83"/>
      <x:c r="B289" s="77"/>
      <x:c r="C289" s="77"/>
      <x:c r="D289" s="77"/>
      <x:c r="E289" s="77"/>
      <x:c r="F289" s="77"/>
      <x:c r="G289" s="77"/>
      <x:c r="H289" s="77"/>
      <x:c r="I289" s="77"/>
      <x:c r="J289" s="80"/>
      <x:c r="K289" s="77"/>
      <x:c r="L289" s="83"/>
      <x:c r="M289" s="83"/>
      <x:c r="N289" s="83"/>
      <x:c r="O289" s="77"/>
      <x:c r="P289" s="77"/>
      <x:c r="Q289" s="77"/>
    </x:row>
    <x:row r="290">
      <x:c r="A290" s="83"/>
      <x:c r="B290" s="77"/>
      <x:c r="C290" s="77"/>
      <x:c r="D290" s="77"/>
      <x:c r="E290" s="77"/>
      <x:c r="F290" s="77"/>
      <x:c r="G290" s="77"/>
      <x:c r="H290" s="77"/>
      <x:c r="I290" s="77"/>
      <x:c r="J290" s="80"/>
      <x:c r="K290" s="77"/>
      <x:c r="L290" s="83"/>
      <x:c r="M290" s="83"/>
      <x:c r="N290" s="83"/>
      <x:c r="O290" s="77"/>
      <x:c r="P290" s="77"/>
      <x:c r="Q290" s="77"/>
    </x:row>
    <x:row r="291">
      <x:c r="A291" s="83"/>
      <x:c r="B291" s="77"/>
      <x:c r="C291" s="77"/>
      <x:c r="D291" s="77"/>
      <x:c r="E291" s="77"/>
      <x:c r="F291" s="77"/>
      <x:c r="G291" s="77"/>
      <x:c r="H291" s="77"/>
      <x:c r="I291" s="77"/>
      <x:c r="J291" s="80"/>
      <x:c r="K291" s="77"/>
      <x:c r="L291" s="83"/>
      <x:c r="M291" s="83"/>
      <x:c r="N291" s="83"/>
      <x:c r="O291" s="77"/>
      <x:c r="P291" s="77"/>
      <x:c r="Q291" s="77"/>
    </x:row>
    <x:row r="292">
      <x:c r="A292" s="83"/>
      <x:c r="B292" s="77"/>
      <x:c r="C292" s="77"/>
      <x:c r="D292" s="77"/>
      <x:c r="E292" s="77"/>
      <x:c r="F292" s="77"/>
      <x:c r="G292" s="77"/>
      <x:c r="H292" s="77"/>
      <x:c r="I292" s="77"/>
      <x:c r="J292" s="80"/>
      <x:c r="K292" s="77"/>
      <x:c r="L292" s="83"/>
      <x:c r="M292" s="83"/>
      <x:c r="N292" s="83"/>
      <x:c r="O292" s="77"/>
      <x:c r="P292" s="77"/>
      <x:c r="Q292" s="77"/>
    </x:row>
    <x:row r="293">
      <x:c r="A293" s="83"/>
      <x:c r="B293" s="77"/>
      <x:c r="C293" s="77"/>
      <x:c r="D293" s="77"/>
      <x:c r="E293" s="77"/>
      <x:c r="F293" s="77"/>
      <x:c r="G293" s="77"/>
      <x:c r="H293" s="77"/>
      <x:c r="I293" s="77"/>
      <x:c r="J293" s="80"/>
      <x:c r="K293" s="77"/>
      <x:c r="L293" s="83"/>
      <x:c r="M293" s="83"/>
      <x:c r="N293" s="83"/>
      <x:c r="O293" s="77"/>
      <x:c r="P293" s="77"/>
      <x:c r="Q293" s="77"/>
    </x:row>
    <x:row r="294">
      <x:c r="A294" s="83"/>
      <x:c r="B294" s="77"/>
      <x:c r="C294" s="77"/>
      <x:c r="D294" s="77"/>
      <x:c r="E294" s="77"/>
      <x:c r="F294" s="77"/>
      <x:c r="G294" s="77"/>
      <x:c r="H294" s="77"/>
      <x:c r="I294" s="77"/>
      <x:c r="J294" s="80"/>
      <x:c r="K294" s="77"/>
      <x:c r="L294" s="83"/>
      <x:c r="M294" s="83"/>
      <x:c r="N294" s="83"/>
      <x:c r="O294" s="77"/>
      <x:c r="P294" s="77"/>
      <x:c r="Q294" s="77"/>
    </x:row>
    <x:row r="295">
      <x:c r="A295" s="83"/>
      <x:c r="B295" s="77"/>
      <x:c r="C295" s="77"/>
      <x:c r="D295" s="77"/>
      <x:c r="E295" s="77"/>
      <x:c r="F295" s="77"/>
      <x:c r="G295" s="77"/>
      <x:c r="H295" s="77"/>
      <x:c r="I295" s="77"/>
      <x:c r="J295" s="80"/>
      <x:c r="K295" s="77"/>
      <x:c r="L295" s="83"/>
      <x:c r="M295" s="83"/>
      <x:c r="N295" s="83"/>
      <x:c r="O295" s="77"/>
      <x:c r="P295" s="77"/>
      <x:c r="Q295" s="77"/>
    </x:row>
    <x:row r="296">
      <x:c r="A296" s="83"/>
      <x:c r="B296" s="77"/>
      <x:c r="C296" s="77"/>
      <x:c r="D296" s="77"/>
      <x:c r="E296" s="77"/>
      <x:c r="F296" s="77"/>
      <x:c r="G296" s="77"/>
      <x:c r="H296" s="77"/>
      <x:c r="I296" s="77"/>
      <x:c r="J296" s="80"/>
      <x:c r="K296" s="77"/>
      <x:c r="L296" s="83"/>
      <x:c r="M296" s="83"/>
      <x:c r="N296" s="83"/>
      <x:c r="O296" s="77"/>
      <x:c r="P296" s="77"/>
      <x:c r="Q296" s="77"/>
    </x:row>
    <x:row r="297">
      <x:c r="A297" s="83"/>
      <x:c r="B297" s="77"/>
      <x:c r="C297" s="77"/>
      <x:c r="D297" s="77"/>
      <x:c r="E297" s="77"/>
      <x:c r="F297" s="77"/>
      <x:c r="G297" s="77"/>
      <x:c r="H297" s="77"/>
      <x:c r="I297" s="77"/>
      <x:c r="J297" s="80"/>
      <x:c r="K297" s="77"/>
      <x:c r="L297" s="83"/>
      <x:c r="M297" s="83"/>
      <x:c r="N297" s="83"/>
      <x:c r="O297" s="77"/>
      <x:c r="P297" s="77"/>
      <x:c r="Q297" s="77"/>
    </x:row>
    <x:row r="298">
      <x:c r="A298" s="83"/>
      <x:c r="B298" s="77"/>
      <x:c r="C298" s="77"/>
      <x:c r="D298" s="77"/>
      <x:c r="E298" s="77"/>
      <x:c r="F298" s="77"/>
      <x:c r="G298" s="77"/>
      <x:c r="H298" s="77"/>
      <x:c r="I298" s="77"/>
      <x:c r="J298" s="80"/>
      <x:c r="K298" s="77"/>
      <x:c r="L298" s="83"/>
      <x:c r="M298" s="83"/>
      <x:c r="N298" s="83"/>
      <x:c r="O298" s="77"/>
      <x:c r="P298" s="77"/>
      <x:c r="Q298" s="77"/>
    </x:row>
    <x:row r="299">
      <x:c r="A299" s="83"/>
      <x:c r="B299" s="77"/>
      <x:c r="C299" s="77"/>
      <x:c r="D299" s="77"/>
      <x:c r="E299" s="77"/>
      <x:c r="F299" s="77"/>
      <x:c r="G299" s="77"/>
      <x:c r="H299" s="77"/>
      <x:c r="I299" s="77"/>
      <x:c r="J299" s="80"/>
      <x:c r="K299" s="77"/>
      <x:c r="L299" s="83"/>
      <x:c r="M299" s="83"/>
      <x:c r="N299" s="83"/>
      <x:c r="O299" s="77"/>
      <x:c r="P299" s="77"/>
      <x:c r="Q299" s="77"/>
    </x:row>
    <x:row r="300">
      <x:c r="A300" s="83"/>
      <x:c r="B300" s="77"/>
      <x:c r="C300" s="77"/>
      <x:c r="D300" s="77"/>
      <x:c r="E300" s="77"/>
      <x:c r="F300" s="77"/>
      <x:c r="G300" s="77"/>
      <x:c r="H300" s="77"/>
      <x:c r="I300" s="77"/>
      <x:c r="J300" s="80"/>
      <x:c r="K300" s="77"/>
      <x:c r="L300" s="83"/>
      <x:c r="M300" s="83"/>
      <x:c r="N300" s="83"/>
      <x:c r="O300" s="77"/>
      <x:c r="P300" s="77"/>
      <x:c r="Q300" s="77"/>
    </x:row>
    <x:row r="301">
      <x:c r="A301" s="83"/>
      <x:c r="B301" s="77"/>
      <x:c r="C301" s="77"/>
      <x:c r="D301" s="77"/>
      <x:c r="E301" s="77"/>
      <x:c r="F301" s="77"/>
      <x:c r="G301" s="77"/>
      <x:c r="H301" s="77"/>
      <x:c r="I301" s="77"/>
      <x:c r="J301" s="80"/>
      <x:c r="K301" s="77"/>
      <x:c r="L301" s="83"/>
      <x:c r="M301" s="83"/>
      <x:c r="N301" s="83"/>
      <x:c r="O301" s="77"/>
      <x:c r="P301" s="77"/>
      <x:c r="Q301" s="77"/>
    </x:row>
    <x:row r="302">
      <x:c r="A302" s="83"/>
      <x:c r="B302" s="77"/>
      <x:c r="C302" s="77"/>
      <x:c r="D302" s="77"/>
      <x:c r="E302" s="77"/>
      <x:c r="F302" s="77"/>
      <x:c r="G302" s="77"/>
      <x:c r="H302" s="77"/>
      <x:c r="I302" s="77"/>
      <x:c r="J302" s="80"/>
      <x:c r="K302" s="77"/>
      <x:c r="L302" s="83"/>
      <x:c r="M302" s="83"/>
      <x:c r="N302" s="83"/>
      <x:c r="O302" s="77"/>
      <x:c r="P302" s="77"/>
      <x:c r="Q302" s="77"/>
    </x:row>
    <x:row r="303">
      <x:c r="A303" s="83"/>
      <x:c r="B303" s="77"/>
      <x:c r="C303" s="77"/>
      <x:c r="D303" s="77"/>
      <x:c r="E303" s="77"/>
      <x:c r="F303" s="77"/>
      <x:c r="G303" s="77"/>
      <x:c r="H303" s="77"/>
      <x:c r="I303" s="77"/>
      <x:c r="J303" s="80"/>
      <x:c r="K303" s="77"/>
      <x:c r="L303" s="83"/>
      <x:c r="M303" s="83"/>
      <x:c r="N303" s="83"/>
      <x:c r="O303" s="77"/>
      <x:c r="P303" s="77"/>
      <x:c r="Q303" s="77"/>
    </x:row>
  </x:sheetData>
  <x:mergeCells>
    <x:mergeCell ref="A1:Q1"/>
  </x:mergeCells>
  <x:conditionalFormatting sqref="K4:K303">
    <x:cfRule type="expression" dxfId="8" priority="1">
      <x:formula>K4="Concluído"</x:formula>
    </x:cfRule>
    <x:cfRule type="expression" dxfId="9" priority="2">
      <x:formula>K4="Perdido"</x:formula>
    </x:cfRule>
    <x:cfRule type="expression" dxfId="10" priority="3">
      <x:formula>K4="Follow-up"</x:formula>
    </x:cfRule>
  </x:conditionalFormatting>
  <x:dataValidations count="5">
    <x:dataValidation type="list" sqref="E4:E303">
      <x:formula1>Config!$D$4:$D$13</x:formula1>
    </x:dataValidation>
    <x:dataValidation type="list" sqref="F4:F303">
      <x:formula1>Config!$F$4:$F$8</x:formula1>
    </x:dataValidation>
    <x:dataValidation type="list" sqref="H4:I303">
      <x:formula1>"Sim,Não"</x:formula1>
    </x:dataValidation>
    <x:dataValidation type="list" sqref="K4:K303">
      <x:formula1>Config!$E$4:$E$13</x:formula1>
    </x:dataValidation>
    <x:dataValidation type="list" sqref="O4:P303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56f8f0b9f41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34" hidden="0" customWidth="1"/>
    <x:col min="5" max="5" width="15" hidden="0" customWidth="1"/>
    <x:col min="6" max="6" width="16" hidden="0" customWidth="1"/>
    <x:col min="7" max="7" width="18" hidden="0" customWidth="1"/>
    <x:col min="8" max="8" width="15" hidden="0" customWidth="1"/>
    <x:col min="9" max="9" width="15" hidden="0" customWidth="1"/>
    <x:col min="10" max="10" width="12" hidden="0" customWidth="1"/>
    <x:col min="11" max="11" width="17" hidden="0" customWidth="1"/>
    <x:col min="12" max="12" width="15" hidden="0" customWidth="1"/>
    <x:col min="13" max="13" width="18" hidden="0" customWidth="1"/>
    <x:col min="14" max="14" width="10" hidden="0" customWidth="1"/>
    <x:col min="15" max="15" width="18" hidden="0" customWidth="1"/>
    <x:col min="16" max="16" width="35" hidden="0" customWidth="1"/>
  </x:cols>
  <x:sheetData>
    <x:row r="1" ht="28" customHeight="1">
      <x:c r="A1" s="155" t="str">
        <x:v>SOCORRO! O CUCA RESOLVE | Atendimentos, receita e rentabilidade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  <x:c r="L2" s="158"/>
      <x:c r="M2" s="158"/>
      <x:c r="N2" s="158"/>
      <x:c r="O2" s="158"/>
      <x:c r="P2" s="158"/>
    </x:row>
    <x:row r="3" ht="24" customHeight="1">
      <x:c r="A3" s="159" t="str">
        <x:v>Data</x:v>
      </x:c>
      <x:c r="B3" s="159" t="str">
        <x:v>Cliente</x:v>
      </x:c>
      <x:c r="C3" s="159" t="str">
        <x:v>Categoria</x:v>
      </x:c>
      <x:c r="D3" s="159" t="str">
        <x:v>Serviço</x:v>
      </x:c>
      <x:c r="E3" s="159" t="str">
        <x:v>Mão de obra</x:v>
      </x:c>
      <x:c r="F3" s="159" t="str">
        <x:v>Materiais cobrados</x:v>
      </x:c>
      <x:c r="G3" s="159" t="str">
        <x:v>Deslocamento cobrado</x:v>
      </x:c>
      <x:c r="H3" s="159" t="str">
        <x:v>Receita total</x:v>
      </x:c>
      <x:c r="I3" s="159" t="str">
        <x:v>Custo material</x:v>
      </x:c>
      <x:c r="J3" s="159" t="str">
        <x:v>Km rodados</x:v>
      </x:c>
      <x:c r="K3" s="159" t="str">
        <x:v>Custo deslocamento</x:v>
      </x:c>
      <x:c r="L3" s="159" t="str">
        <x:v>Lucro bruto</x:v>
      </x:c>
      <x:c r="M3" s="159" t="str">
        <x:v>Forma pagamento</x:v>
      </x:c>
      <x:c r="N3" s="159" t="str">
        <x:v>Pago?</x:v>
      </x:c>
      <x:c r="O3" s="159" t="str">
        <x:v>Origem lead</x:v>
      </x:c>
      <x:c r="P3" s="159" t="str">
        <x:v>Observações</x:v>
      </x:c>
    </x:row>
    <x:row r="4">
      <x:c r="A4" s="83"/>
      <x:c r="B4" s="77"/>
      <x:c r="C4" s="77"/>
      <x:c r="D4" s="77"/>
      <x:c r="E4" s="80"/>
      <x:c r="F4" s="80"/>
      <x:c r="G4" s="80"/>
      <x:c r="H4" s="80" t="str">
        <x:f>IF(A4="","",SUM(E4:G4))</x:f>
      </x:c>
      <x:c r="I4" s="80"/>
      <x:c r="J4" s="77"/>
      <x:c r="K4" s="80" t="str">
        <x:f>IF(A4="","",J4*Config!$B$8)</x:f>
      </x:c>
      <x:c r="L4" s="80" t="str">
        <x:f>IF(A4="","",H4-I4-K4)</x:f>
      </x:c>
      <x:c r="M4" s="77"/>
      <x:c r="N4" s="77"/>
      <x:c r="O4" s="77"/>
      <x:c r="P4" s="77"/>
    </x:row>
    <x:row r="5">
      <x:c r="A5" s="83"/>
      <x:c r="B5" s="77"/>
      <x:c r="C5" s="77"/>
      <x:c r="D5" s="77"/>
      <x:c r="E5" s="80"/>
      <x:c r="F5" s="80"/>
      <x:c r="G5" s="80"/>
      <x:c r="H5" s="80" t="str">
        <x:f>IF(A5="","",SUM(E5:G5))</x:f>
      </x:c>
      <x:c r="I5" s="80"/>
      <x:c r="J5" s="77"/>
      <x:c r="K5" s="80" t="str">
        <x:f>IF(A5="","",J5*Config!$B$8)</x:f>
      </x:c>
      <x:c r="L5" s="80" t="str">
        <x:f>IF(A5="","",H5-I5-K5)</x:f>
      </x:c>
      <x:c r="M5" s="77"/>
      <x:c r="N5" s="77"/>
      <x:c r="O5" s="77"/>
      <x:c r="P5" s="77"/>
    </x:row>
    <x:row r="6">
      <x:c r="A6" s="83"/>
      <x:c r="B6" s="77"/>
      <x:c r="C6" s="77"/>
      <x:c r="D6" s="77"/>
      <x:c r="E6" s="80"/>
      <x:c r="F6" s="80"/>
      <x:c r="G6" s="80"/>
      <x:c r="H6" s="80" t="str">
        <x:f>IF(A6="","",SUM(E6:G6))</x:f>
      </x:c>
      <x:c r="I6" s="80"/>
      <x:c r="J6" s="77"/>
      <x:c r="K6" s="80" t="str">
        <x:f>IF(A6="","",J6*Config!$B$8)</x:f>
      </x:c>
      <x:c r="L6" s="80" t="str">
        <x:f>IF(A6="","",H6-I6-K6)</x:f>
      </x:c>
      <x:c r="M6" s="77"/>
      <x:c r="N6" s="77"/>
      <x:c r="O6" s="77"/>
      <x:c r="P6" s="77"/>
    </x:row>
    <x:row r="7">
      <x:c r="A7" s="83"/>
      <x:c r="B7" s="77"/>
      <x:c r="C7" s="77"/>
      <x:c r="D7" s="77"/>
      <x:c r="E7" s="80"/>
      <x:c r="F7" s="80"/>
      <x:c r="G7" s="80"/>
      <x:c r="H7" s="80" t="str">
        <x:f>IF(A7="","",SUM(E7:G7))</x:f>
      </x:c>
      <x:c r="I7" s="80"/>
      <x:c r="J7" s="77"/>
      <x:c r="K7" s="80" t="str">
        <x:f>IF(A7="","",J7*Config!$B$8)</x:f>
      </x:c>
      <x:c r="L7" s="80" t="str">
        <x:f>IF(A7="","",H7-I7-K7)</x:f>
      </x:c>
      <x:c r="M7" s="77"/>
      <x:c r="N7" s="77"/>
      <x:c r="O7" s="77"/>
      <x:c r="P7" s="77"/>
    </x:row>
    <x:row r="8">
      <x:c r="A8" s="83"/>
      <x:c r="B8" s="77"/>
      <x:c r="C8" s="77"/>
      <x:c r="D8" s="77"/>
      <x:c r="E8" s="80"/>
      <x:c r="F8" s="80"/>
      <x:c r="G8" s="80"/>
      <x:c r="H8" s="80" t="str">
        <x:f>IF(A8="","",SUM(E8:G8))</x:f>
      </x:c>
      <x:c r="I8" s="80"/>
      <x:c r="J8" s="77"/>
      <x:c r="K8" s="80" t="str">
        <x:f>IF(A8="","",J8*Config!$B$8)</x:f>
      </x:c>
      <x:c r="L8" s="80" t="str">
        <x:f>IF(A8="","",H8-I8-K8)</x:f>
      </x:c>
      <x:c r="M8" s="77"/>
      <x:c r="N8" s="77"/>
      <x:c r="O8" s="77"/>
      <x:c r="P8" s="77"/>
    </x:row>
    <x:row r="9">
      <x:c r="A9" s="83"/>
      <x:c r="B9" s="77"/>
      <x:c r="C9" s="77"/>
      <x:c r="D9" s="77"/>
      <x:c r="E9" s="80"/>
      <x:c r="F9" s="80"/>
      <x:c r="G9" s="80"/>
      <x:c r="H9" s="80" t="str">
        <x:f>IF(A9="","",SUM(E9:G9))</x:f>
      </x:c>
      <x:c r="I9" s="80"/>
      <x:c r="J9" s="77"/>
      <x:c r="K9" s="80" t="str">
        <x:f>IF(A9="","",J9*Config!$B$8)</x:f>
      </x:c>
      <x:c r="L9" s="80" t="str">
        <x:f>IF(A9="","",H9-I9-K9)</x:f>
      </x:c>
      <x:c r="M9" s="77"/>
      <x:c r="N9" s="77"/>
      <x:c r="O9" s="77"/>
      <x:c r="P9" s="77"/>
    </x:row>
    <x:row r="10">
      <x:c r="A10" s="83"/>
      <x:c r="B10" s="77"/>
      <x:c r="C10" s="77"/>
      <x:c r="D10" s="77"/>
      <x:c r="E10" s="80"/>
      <x:c r="F10" s="80"/>
      <x:c r="G10" s="80"/>
      <x:c r="H10" s="80" t="str">
        <x:f>IF(A10="","",SUM(E10:G10))</x:f>
      </x:c>
      <x:c r="I10" s="80"/>
      <x:c r="J10" s="77"/>
      <x:c r="K10" s="80" t="str">
        <x:f>IF(A10="","",J10*Config!$B$8)</x:f>
      </x:c>
      <x:c r="L10" s="80" t="str">
        <x:f>IF(A10="","",H10-I10-K10)</x:f>
      </x:c>
      <x:c r="M10" s="77"/>
      <x:c r="N10" s="77"/>
      <x:c r="O10" s="77"/>
      <x:c r="P10" s="77"/>
    </x:row>
    <x:row r="11">
      <x:c r="A11" s="83"/>
      <x:c r="B11" s="77"/>
      <x:c r="C11" s="77"/>
      <x:c r="D11" s="77"/>
      <x:c r="E11" s="80"/>
      <x:c r="F11" s="80"/>
      <x:c r="G11" s="80"/>
      <x:c r="H11" s="80" t="str">
        <x:f>IF(A11="","",SUM(E11:G11))</x:f>
      </x:c>
      <x:c r="I11" s="80"/>
      <x:c r="J11" s="77"/>
      <x:c r="K11" s="80" t="str">
        <x:f>IF(A11="","",J11*Config!$B$8)</x:f>
      </x:c>
      <x:c r="L11" s="80" t="str">
        <x:f>IF(A11="","",H11-I11-K11)</x:f>
      </x:c>
      <x:c r="M11" s="77"/>
      <x:c r="N11" s="77"/>
      <x:c r="O11" s="77"/>
      <x:c r="P11" s="77"/>
    </x:row>
    <x:row r="12">
      <x:c r="A12" s="83"/>
      <x:c r="B12" s="77"/>
      <x:c r="C12" s="77"/>
      <x:c r="D12" s="77"/>
      <x:c r="E12" s="80"/>
      <x:c r="F12" s="80"/>
      <x:c r="G12" s="80"/>
      <x:c r="H12" s="80" t="str">
        <x:f>IF(A12="","",SUM(E12:G12))</x:f>
      </x:c>
      <x:c r="I12" s="80"/>
      <x:c r="J12" s="77"/>
      <x:c r="K12" s="80" t="str">
        <x:f>IF(A12="","",J12*Config!$B$8)</x:f>
      </x:c>
      <x:c r="L12" s="80" t="str">
        <x:f>IF(A12="","",H12-I12-K12)</x:f>
      </x:c>
      <x:c r="M12" s="77"/>
      <x:c r="N12" s="77"/>
      <x:c r="O12" s="77"/>
      <x:c r="P12" s="77"/>
    </x:row>
    <x:row r="13">
      <x:c r="A13" s="83"/>
      <x:c r="B13" s="77"/>
      <x:c r="C13" s="77"/>
      <x:c r="D13" s="77"/>
      <x:c r="E13" s="80"/>
      <x:c r="F13" s="80"/>
      <x:c r="G13" s="80"/>
      <x:c r="H13" s="80" t="str">
        <x:f>IF(A13="","",SUM(E13:G13))</x:f>
      </x:c>
      <x:c r="I13" s="80"/>
      <x:c r="J13" s="77"/>
      <x:c r="K13" s="80" t="str">
        <x:f>IF(A13="","",J13*Config!$B$8)</x:f>
      </x:c>
      <x:c r="L13" s="80" t="str">
        <x:f>IF(A13="","",H13-I13-K13)</x:f>
      </x:c>
      <x:c r="M13" s="77"/>
      <x:c r="N13" s="77"/>
      <x:c r="O13" s="77"/>
      <x:c r="P13" s="77"/>
    </x:row>
    <x:row r="14">
      <x:c r="A14" s="83"/>
      <x:c r="B14" s="77"/>
      <x:c r="C14" s="77"/>
      <x:c r="D14" s="77"/>
      <x:c r="E14" s="80"/>
      <x:c r="F14" s="80"/>
      <x:c r="G14" s="80"/>
      <x:c r="H14" s="80" t="str">
        <x:f>IF(A14="","",SUM(E14:G14))</x:f>
      </x:c>
      <x:c r="I14" s="80"/>
      <x:c r="J14" s="77"/>
      <x:c r="K14" s="80" t="str">
        <x:f>IF(A14="","",J14*Config!$B$8)</x:f>
      </x:c>
      <x:c r="L14" s="80" t="str">
        <x:f>IF(A14="","",H14-I14-K14)</x:f>
      </x:c>
      <x:c r="M14" s="77"/>
      <x:c r="N14" s="77"/>
      <x:c r="O14" s="77"/>
      <x:c r="P14" s="77"/>
    </x:row>
    <x:row r="15">
      <x:c r="A15" s="83"/>
      <x:c r="B15" s="77"/>
      <x:c r="C15" s="77"/>
      <x:c r="D15" s="77"/>
      <x:c r="E15" s="80"/>
      <x:c r="F15" s="80"/>
      <x:c r="G15" s="80"/>
      <x:c r="H15" s="80" t="str">
        <x:f>IF(A15="","",SUM(E15:G15))</x:f>
      </x:c>
      <x:c r="I15" s="80"/>
      <x:c r="J15" s="77"/>
      <x:c r="K15" s="80" t="str">
        <x:f>IF(A15="","",J15*Config!$B$8)</x:f>
      </x:c>
      <x:c r="L15" s="80" t="str">
        <x:f>IF(A15="","",H15-I15-K15)</x:f>
      </x:c>
      <x:c r="M15" s="77"/>
      <x:c r="N15" s="77"/>
      <x:c r="O15" s="77"/>
      <x:c r="P15" s="77"/>
    </x:row>
    <x:row r="16">
      <x:c r="A16" s="83"/>
      <x:c r="B16" s="77"/>
      <x:c r="C16" s="77"/>
      <x:c r="D16" s="77"/>
      <x:c r="E16" s="80"/>
      <x:c r="F16" s="80"/>
      <x:c r="G16" s="80"/>
      <x:c r="H16" s="80" t="str">
        <x:f>IF(A16="","",SUM(E16:G16))</x:f>
      </x:c>
      <x:c r="I16" s="80"/>
      <x:c r="J16" s="77"/>
      <x:c r="K16" s="80" t="str">
        <x:f>IF(A16="","",J16*Config!$B$8)</x:f>
      </x:c>
      <x:c r="L16" s="80" t="str">
        <x:f>IF(A16="","",H16-I16-K16)</x:f>
      </x:c>
      <x:c r="M16" s="77"/>
      <x:c r="N16" s="77"/>
      <x:c r="O16" s="77"/>
      <x:c r="P16" s="77"/>
    </x:row>
    <x:row r="17">
      <x:c r="A17" s="83"/>
      <x:c r="B17" s="77"/>
      <x:c r="C17" s="77"/>
      <x:c r="D17" s="77"/>
      <x:c r="E17" s="80"/>
      <x:c r="F17" s="80"/>
      <x:c r="G17" s="80"/>
      <x:c r="H17" s="80" t="str">
        <x:f>IF(A17="","",SUM(E17:G17))</x:f>
      </x:c>
      <x:c r="I17" s="80"/>
      <x:c r="J17" s="77"/>
      <x:c r="K17" s="80" t="str">
        <x:f>IF(A17="","",J17*Config!$B$8)</x:f>
      </x:c>
      <x:c r="L17" s="80" t="str">
        <x:f>IF(A17="","",H17-I17-K17)</x:f>
      </x:c>
      <x:c r="M17" s="77"/>
      <x:c r="N17" s="77"/>
      <x:c r="O17" s="77"/>
      <x:c r="P17" s="77"/>
    </x:row>
    <x:row r="18">
      <x:c r="A18" s="83"/>
      <x:c r="B18" s="77"/>
      <x:c r="C18" s="77"/>
      <x:c r="D18" s="77"/>
      <x:c r="E18" s="80"/>
      <x:c r="F18" s="80"/>
      <x:c r="G18" s="80"/>
      <x:c r="H18" s="80" t="str">
        <x:f>IF(A18="","",SUM(E18:G18))</x:f>
      </x:c>
      <x:c r="I18" s="80"/>
      <x:c r="J18" s="77"/>
      <x:c r="K18" s="80" t="str">
        <x:f>IF(A18="","",J18*Config!$B$8)</x:f>
      </x:c>
      <x:c r="L18" s="80" t="str">
        <x:f>IF(A18="","",H18-I18-K18)</x:f>
      </x:c>
      <x:c r="M18" s="77"/>
      <x:c r="N18" s="77"/>
      <x:c r="O18" s="77"/>
      <x:c r="P18" s="77"/>
    </x:row>
    <x:row r="19">
      <x:c r="A19" s="83"/>
      <x:c r="B19" s="77"/>
      <x:c r="C19" s="77"/>
      <x:c r="D19" s="77"/>
      <x:c r="E19" s="80"/>
      <x:c r="F19" s="80"/>
      <x:c r="G19" s="80"/>
      <x:c r="H19" s="80" t="str">
        <x:f>IF(A19="","",SUM(E19:G19))</x:f>
      </x:c>
      <x:c r="I19" s="80"/>
      <x:c r="J19" s="77"/>
      <x:c r="K19" s="80" t="str">
        <x:f>IF(A19="","",J19*Config!$B$8)</x:f>
      </x:c>
      <x:c r="L19" s="80" t="str">
        <x:f>IF(A19="","",H19-I19-K19)</x:f>
      </x:c>
      <x:c r="M19" s="77"/>
      <x:c r="N19" s="77"/>
      <x:c r="O19" s="77"/>
      <x:c r="P19" s="77"/>
    </x:row>
    <x:row r="20">
      <x:c r="A20" s="83"/>
      <x:c r="B20" s="77"/>
      <x:c r="C20" s="77"/>
      <x:c r="D20" s="77"/>
      <x:c r="E20" s="80"/>
      <x:c r="F20" s="80"/>
      <x:c r="G20" s="80"/>
      <x:c r="H20" s="80" t="str">
        <x:f>IF(A20="","",SUM(E20:G20))</x:f>
      </x:c>
      <x:c r="I20" s="80"/>
      <x:c r="J20" s="77"/>
      <x:c r="K20" s="80" t="str">
        <x:f>IF(A20="","",J20*Config!$B$8)</x:f>
      </x:c>
      <x:c r="L20" s="80" t="str">
        <x:f>IF(A20="","",H20-I20-K20)</x:f>
      </x:c>
      <x:c r="M20" s="77"/>
      <x:c r="N20" s="77"/>
      <x:c r="O20" s="77"/>
      <x:c r="P20" s="77"/>
    </x:row>
    <x:row r="21">
      <x:c r="A21" s="83"/>
      <x:c r="B21" s="77"/>
      <x:c r="C21" s="77"/>
      <x:c r="D21" s="77"/>
      <x:c r="E21" s="80"/>
      <x:c r="F21" s="80"/>
      <x:c r="G21" s="80"/>
      <x:c r="H21" s="80" t="str">
        <x:f>IF(A21="","",SUM(E21:G21))</x:f>
      </x:c>
      <x:c r="I21" s="80"/>
      <x:c r="J21" s="77"/>
      <x:c r="K21" s="80" t="str">
        <x:f>IF(A21="","",J21*Config!$B$8)</x:f>
      </x:c>
      <x:c r="L21" s="80" t="str">
        <x:f>IF(A21="","",H21-I21-K21)</x:f>
      </x:c>
      <x:c r="M21" s="77"/>
      <x:c r="N21" s="77"/>
      <x:c r="O21" s="77"/>
      <x:c r="P21" s="77"/>
    </x:row>
    <x:row r="22">
      <x:c r="A22" s="83"/>
      <x:c r="B22" s="77"/>
      <x:c r="C22" s="77"/>
      <x:c r="D22" s="77"/>
      <x:c r="E22" s="80"/>
      <x:c r="F22" s="80"/>
      <x:c r="G22" s="80"/>
      <x:c r="H22" s="80" t="str">
        <x:f>IF(A22="","",SUM(E22:G22))</x:f>
      </x:c>
      <x:c r="I22" s="80"/>
      <x:c r="J22" s="77"/>
      <x:c r="K22" s="80" t="str">
        <x:f>IF(A22="","",J22*Config!$B$8)</x:f>
      </x:c>
      <x:c r="L22" s="80" t="str">
        <x:f>IF(A22="","",H22-I22-K22)</x:f>
      </x:c>
      <x:c r="M22" s="77"/>
      <x:c r="N22" s="77"/>
      <x:c r="O22" s="77"/>
      <x:c r="P22" s="77"/>
    </x:row>
    <x:row r="23">
      <x:c r="A23" s="83"/>
      <x:c r="B23" s="77"/>
      <x:c r="C23" s="77"/>
      <x:c r="D23" s="77"/>
      <x:c r="E23" s="80"/>
      <x:c r="F23" s="80"/>
      <x:c r="G23" s="80"/>
      <x:c r="H23" s="80" t="str">
        <x:f>IF(A23="","",SUM(E23:G23))</x:f>
      </x:c>
      <x:c r="I23" s="80"/>
      <x:c r="J23" s="77"/>
      <x:c r="K23" s="80" t="str">
        <x:f>IF(A23="","",J23*Config!$B$8)</x:f>
      </x:c>
      <x:c r="L23" s="80" t="str">
        <x:f>IF(A23="","",H23-I23-K23)</x:f>
      </x:c>
      <x:c r="M23" s="77"/>
      <x:c r="N23" s="77"/>
      <x:c r="O23" s="77"/>
      <x:c r="P23" s="77"/>
    </x:row>
    <x:row r="24">
      <x:c r="A24" s="83"/>
      <x:c r="B24" s="77"/>
      <x:c r="C24" s="77"/>
      <x:c r="D24" s="77"/>
      <x:c r="E24" s="80"/>
      <x:c r="F24" s="80"/>
      <x:c r="G24" s="80"/>
      <x:c r="H24" s="80" t="str">
        <x:f>IF(A24="","",SUM(E24:G24))</x:f>
      </x:c>
      <x:c r="I24" s="80"/>
      <x:c r="J24" s="77"/>
      <x:c r="K24" s="80" t="str">
        <x:f>IF(A24="","",J24*Config!$B$8)</x:f>
      </x:c>
      <x:c r="L24" s="80" t="str">
        <x:f>IF(A24="","",H24-I24-K24)</x:f>
      </x:c>
      <x:c r="M24" s="77"/>
      <x:c r="N24" s="77"/>
      <x:c r="O24" s="77"/>
      <x:c r="P24" s="77"/>
    </x:row>
    <x:row r="25">
      <x:c r="A25" s="83"/>
      <x:c r="B25" s="77"/>
      <x:c r="C25" s="77"/>
      <x:c r="D25" s="77"/>
      <x:c r="E25" s="80"/>
      <x:c r="F25" s="80"/>
      <x:c r="G25" s="80"/>
      <x:c r="H25" s="80" t="str">
        <x:f>IF(A25="","",SUM(E25:G25))</x:f>
      </x:c>
      <x:c r="I25" s="80"/>
      <x:c r="J25" s="77"/>
      <x:c r="K25" s="80" t="str">
        <x:f>IF(A25="","",J25*Config!$B$8)</x:f>
      </x:c>
      <x:c r="L25" s="80" t="str">
        <x:f>IF(A25="","",H25-I25-K25)</x:f>
      </x:c>
      <x:c r="M25" s="77"/>
      <x:c r="N25" s="77"/>
      <x:c r="O25" s="77"/>
      <x:c r="P25" s="77"/>
    </x:row>
    <x:row r="26">
      <x:c r="A26" s="83"/>
      <x:c r="B26" s="77"/>
      <x:c r="C26" s="77"/>
      <x:c r="D26" s="77"/>
      <x:c r="E26" s="80"/>
      <x:c r="F26" s="80"/>
      <x:c r="G26" s="80"/>
      <x:c r="H26" s="80" t="str">
        <x:f>IF(A26="","",SUM(E26:G26))</x:f>
      </x:c>
      <x:c r="I26" s="80"/>
      <x:c r="J26" s="77"/>
      <x:c r="K26" s="80" t="str">
        <x:f>IF(A26="","",J26*Config!$B$8)</x:f>
      </x:c>
      <x:c r="L26" s="80" t="str">
        <x:f>IF(A26="","",H26-I26-K26)</x:f>
      </x:c>
      <x:c r="M26" s="77"/>
      <x:c r="N26" s="77"/>
      <x:c r="O26" s="77"/>
      <x:c r="P26" s="77"/>
    </x:row>
    <x:row r="27">
      <x:c r="A27" s="83"/>
      <x:c r="B27" s="77"/>
      <x:c r="C27" s="77"/>
      <x:c r="D27" s="77"/>
      <x:c r="E27" s="80"/>
      <x:c r="F27" s="80"/>
      <x:c r="G27" s="80"/>
      <x:c r="H27" s="80" t="str">
        <x:f>IF(A27="","",SUM(E27:G27))</x:f>
      </x:c>
      <x:c r="I27" s="80"/>
      <x:c r="J27" s="77"/>
      <x:c r="K27" s="80" t="str">
        <x:f>IF(A27="","",J27*Config!$B$8)</x:f>
      </x:c>
      <x:c r="L27" s="80" t="str">
        <x:f>IF(A27="","",H27-I27-K27)</x:f>
      </x:c>
      <x:c r="M27" s="77"/>
      <x:c r="N27" s="77"/>
      <x:c r="O27" s="77"/>
      <x:c r="P27" s="77"/>
    </x:row>
    <x:row r="28">
      <x:c r="A28" s="83"/>
      <x:c r="B28" s="77"/>
      <x:c r="C28" s="77"/>
      <x:c r="D28" s="77"/>
      <x:c r="E28" s="80"/>
      <x:c r="F28" s="80"/>
      <x:c r="G28" s="80"/>
      <x:c r="H28" s="80" t="str">
        <x:f>IF(A28="","",SUM(E28:G28))</x:f>
      </x:c>
      <x:c r="I28" s="80"/>
      <x:c r="J28" s="77"/>
      <x:c r="K28" s="80" t="str">
        <x:f>IF(A28="","",J28*Config!$B$8)</x:f>
      </x:c>
      <x:c r="L28" s="80" t="str">
        <x:f>IF(A28="","",H28-I28-K28)</x:f>
      </x:c>
      <x:c r="M28" s="77"/>
      <x:c r="N28" s="77"/>
      <x:c r="O28" s="77"/>
      <x:c r="P28" s="77"/>
    </x:row>
    <x:row r="29">
      <x:c r="A29" s="83"/>
      <x:c r="B29" s="77"/>
      <x:c r="C29" s="77"/>
      <x:c r="D29" s="77"/>
      <x:c r="E29" s="80"/>
      <x:c r="F29" s="80"/>
      <x:c r="G29" s="80"/>
      <x:c r="H29" s="80" t="str">
        <x:f>IF(A29="","",SUM(E29:G29))</x:f>
      </x:c>
      <x:c r="I29" s="80"/>
      <x:c r="J29" s="77"/>
      <x:c r="K29" s="80" t="str">
        <x:f>IF(A29="","",J29*Config!$B$8)</x:f>
      </x:c>
      <x:c r="L29" s="80" t="str">
        <x:f>IF(A29="","",H29-I29-K29)</x:f>
      </x:c>
      <x:c r="M29" s="77"/>
      <x:c r="N29" s="77"/>
      <x:c r="O29" s="77"/>
      <x:c r="P29" s="77"/>
    </x:row>
    <x:row r="30">
      <x:c r="A30" s="83"/>
      <x:c r="B30" s="77"/>
      <x:c r="C30" s="77"/>
      <x:c r="D30" s="77"/>
      <x:c r="E30" s="80"/>
      <x:c r="F30" s="80"/>
      <x:c r="G30" s="80"/>
      <x:c r="H30" s="80" t="str">
        <x:f>IF(A30="","",SUM(E30:G30))</x:f>
      </x:c>
      <x:c r="I30" s="80"/>
      <x:c r="J30" s="77"/>
      <x:c r="K30" s="80" t="str">
        <x:f>IF(A30="","",J30*Config!$B$8)</x:f>
      </x:c>
      <x:c r="L30" s="80" t="str">
        <x:f>IF(A30="","",H30-I30-K30)</x:f>
      </x:c>
      <x:c r="M30" s="77"/>
      <x:c r="N30" s="77"/>
      <x:c r="O30" s="77"/>
      <x:c r="P30" s="77"/>
    </x:row>
    <x:row r="31">
      <x:c r="A31" s="83"/>
      <x:c r="B31" s="77"/>
      <x:c r="C31" s="77"/>
      <x:c r="D31" s="77"/>
      <x:c r="E31" s="80"/>
      <x:c r="F31" s="80"/>
      <x:c r="G31" s="80"/>
      <x:c r="H31" s="80" t="str">
        <x:f>IF(A31="","",SUM(E31:G31))</x:f>
      </x:c>
      <x:c r="I31" s="80"/>
      <x:c r="J31" s="77"/>
      <x:c r="K31" s="80" t="str">
        <x:f>IF(A31="","",J31*Config!$B$8)</x:f>
      </x:c>
      <x:c r="L31" s="80" t="str">
        <x:f>IF(A31="","",H31-I31-K31)</x:f>
      </x:c>
      <x:c r="M31" s="77"/>
      <x:c r="N31" s="77"/>
      <x:c r="O31" s="77"/>
      <x:c r="P31" s="77"/>
    </x:row>
    <x:row r="32">
      <x:c r="A32" s="83"/>
      <x:c r="B32" s="77"/>
      <x:c r="C32" s="77"/>
      <x:c r="D32" s="77"/>
      <x:c r="E32" s="80"/>
      <x:c r="F32" s="80"/>
      <x:c r="G32" s="80"/>
      <x:c r="H32" s="80" t="str">
        <x:f>IF(A32="","",SUM(E32:G32))</x:f>
      </x:c>
      <x:c r="I32" s="80"/>
      <x:c r="J32" s="77"/>
      <x:c r="K32" s="80" t="str">
        <x:f>IF(A32="","",J32*Config!$B$8)</x:f>
      </x:c>
      <x:c r="L32" s="80" t="str">
        <x:f>IF(A32="","",H32-I32-K32)</x:f>
      </x:c>
      <x:c r="M32" s="77"/>
      <x:c r="N32" s="77"/>
      <x:c r="O32" s="77"/>
      <x:c r="P32" s="77"/>
    </x:row>
    <x:row r="33">
      <x:c r="A33" s="83"/>
      <x:c r="B33" s="77"/>
      <x:c r="C33" s="77"/>
      <x:c r="D33" s="77"/>
      <x:c r="E33" s="80"/>
      <x:c r="F33" s="80"/>
      <x:c r="G33" s="80"/>
      <x:c r="H33" s="80" t="str">
        <x:f>IF(A33="","",SUM(E33:G33))</x:f>
      </x:c>
      <x:c r="I33" s="80"/>
      <x:c r="J33" s="77"/>
      <x:c r="K33" s="80" t="str">
        <x:f>IF(A33="","",J33*Config!$B$8)</x:f>
      </x:c>
      <x:c r="L33" s="80" t="str">
        <x:f>IF(A33="","",H33-I33-K33)</x:f>
      </x:c>
      <x:c r="M33" s="77"/>
      <x:c r="N33" s="77"/>
      <x:c r="O33" s="77"/>
      <x:c r="P33" s="77"/>
    </x:row>
    <x:row r="34">
      <x:c r="A34" s="83"/>
      <x:c r="B34" s="77"/>
      <x:c r="C34" s="77"/>
      <x:c r="D34" s="77"/>
      <x:c r="E34" s="80"/>
      <x:c r="F34" s="80"/>
      <x:c r="G34" s="80"/>
      <x:c r="H34" s="80" t="str">
        <x:f>IF(A34="","",SUM(E34:G34))</x:f>
      </x:c>
      <x:c r="I34" s="80"/>
      <x:c r="J34" s="77"/>
      <x:c r="K34" s="80" t="str">
        <x:f>IF(A34="","",J34*Config!$B$8)</x:f>
      </x:c>
      <x:c r="L34" s="80" t="str">
        <x:f>IF(A34="","",H34-I34-K34)</x:f>
      </x:c>
      <x:c r="M34" s="77"/>
      <x:c r="N34" s="77"/>
      <x:c r="O34" s="77"/>
      <x:c r="P34" s="77"/>
    </x:row>
    <x:row r="35">
      <x:c r="A35" s="83"/>
      <x:c r="B35" s="77"/>
      <x:c r="C35" s="77"/>
      <x:c r="D35" s="77"/>
      <x:c r="E35" s="80"/>
      <x:c r="F35" s="80"/>
      <x:c r="G35" s="80"/>
      <x:c r="H35" s="80" t="str">
        <x:f>IF(A35="","",SUM(E35:G35))</x:f>
      </x:c>
      <x:c r="I35" s="80"/>
      <x:c r="J35" s="77"/>
      <x:c r="K35" s="80" t="str">
        <x:f>IF(A35="","",J35*Config!$B$8)</x:f>
      </x:c>
      <x:c r="L35" s="80" t="str">
        <x:f>IF(A35="","",H35-I35-K35)</x:f>
      </x:c>
      <x:c r="M35" s="77"/>
      <x:c r="N35" s="77"/>
      <x:c r="O35" s="77"/>
      <x:c r="P35" s="77"/>
    </x:row>
    <x:row r="36">
      <x:c r="A36" s="83"/>
      <x:c r="B36" s="77"/>
      <x:c r="C36" s="77"/>
      <x:c r="D36" s="77"/>
      <x:c r="E36" s="80"/>
      <x:c r="F36" s="80"/>
      <x:c r="G36" s="80"/>
      <x:c r="H36" s="80" t="str">
        <x:f>IF(A36="","",SUM(E36:G36))</x:f>
      </x:c>
      <x:c r="I36" s="80"/>
      <x:c r="J36" s="77"/>
      <x:c r="K36" s="80" t="str">
        <x:f>IF(A36="","",J36*Config!$B$8)</x:f>
      </x:c>
      <x:c r="L36" s="80" t="str">
        <x:f>IF(A36="","",H36-I36-K36)</x:f>
      </x:c>
      <x:c r="M36" s="77"/>
      <x:c r="N36" s="77"/>
      <x:c r="O36" s="77"/>
      <x:c r="P36" s="77"/>
    </x:row>
    <x:row r="37">
      <x:c r="A37" s="83"/>
      <x:c r="B37" s="77"/>
      <x:c r="C37" s="77"/>
      <x:c r="D37" s="77"/>
      <x:c r="E37" s="80"/>
      <x:c r="F37" s="80"/>
      <x:c r="G37" s="80"/>
      <x:c r="H37" s="80" t="str">
        <x:f>IF(A37="","",SUM(E37:G37))</x:f>
      </x:c>
      <x:c r="I37" s="80"/>
      <x:c r="J37" s="77"/>
      <x:c r="K37" s="80" t="str">
        <x:f>IF(A37="","",J37*Config!$B$8)</x:f>
      </x:c>
      <x:c r="L37" s="80" t="str">
        <x:f>IF(A37="","",H37-I37-K37)</x:f>
      </x:c>
      <x:c r="M37" s="77"/>
      <x:c r="N37" s="77"/>
      <x:c r="O37" s="77"/>
      <x:c r="P37" s="77"/>
    </x:row>
    <x:row r="38">
      <x:c r="A38" s="83"/>
      <x:c r="B38" s="77"/>
      <x:c r="C38" s="77"/>
      <x:c r="D38" s="77"/>
      <x:c r="E38" s="80"/>
      <x:c r="F38" s="80"/>
      <x:c r="G38" s="80"/>
      <x:c r="H38" s="80" t="str">
        <x:f>IF(A38="","",SUM(E38:G38))</x:f>
      </x:c>
      <x:c r="I38" s="80"/>
      <x:c r="J38" s="77"/>
      <x:c r="K38" s="80" t="str">
        <x:f>IF(A38="","",J38*Config!$B$8)</x:f>
      </x:c>
      <x:c r="L38" s="80" t="str">
        <x:f>IF(A38="","",H38-I38-K38)</x:f>
      </x:c>
      <x:c r="M38" s="77"/>
      <x:c r="N38" s="77"/>
      <x:c r="O38" s="77"/>
      <x:c r="P38" s="77"/>
    </x:row>
    <x:row r="39">
      <x:c r="A39" s="83"/>
      <x:c r="B39" s="77"/>
      <x:c r="C39" s="77"/>
      <x:c r="D39" s="77"/>
      <x:c r="E39" s="80"/>
      <x:c r="F39" s="80"/>
      <x:c r="G39" s="80"/>
      <x:c r="H39" s="80" t="str">
        <x:f>IF(A39="","",SUM(E39:G39))</x:f>
      </x:c>
      <x:c r="I39" s="80"/>
      <x:c r="J39" s="77"/>
      <x:c r="K39" s="80" t="str">
        <x:f>IF(A39="","",J39*Config!$B$8)</x:f>
      </x:c>
      <x:c r="L39" s="80" t="str">
        <x:f>IF(A39="","",H39-I39-K39)</x:f>
      </x:c>
      <x:c r="M39" s="77"/>
      <x:c r="N39" s="77"/>
      <x:c r="O39" s="77"/>
      <x:c r="P39" s="77"/>
    </x:row>
    <x:row r="40">
      <x:c r="A40" s="83"/>
      <x:c r="B40" s="77"/>
      <x:c r="C40" s="77"/>
      <x:c r="D40" s="77"/>
      <x:c r="E40" s="80"/>
      <x:c r="F40" s="80"/>
      <x:c r="G40" s="80"/>
      <x:c r="H40" s="80" t="str">
        <x:f>IF(A40="","",SUM(E40:G40))</x:f>
      </x:c>
      <x:c r="I40" s="80"/>
      <x:c r="J40" s="77"/>
      <x:c r="K40" s="80" t="str">
        <x:f>IF(A40="","",J40*Config!$B$8)</x:f>
      </x:c>
      <x:c r="L40" s="80" t="str">
        <x:f>IF(A40="","",H40-I40-K40)</x:f>
      </x:c>
      <x:c r="M40" s="77"/>
      <x:c r="N40" s="77"/>
      <x:c r="O40" s="77"/>
      <x:c r="P40" s="77"/>
    </x:row>
    <x:row r="41">
      <x:c r="A41" s="83"/>
      <x:c r="B41" s="77"/>
      <x:c r="C41" s="77"/>
      <x:c r="D41" s="77"/>
      <x:c r="E41" s="80"/>
      <x:c r="F41" s="80"/>
      <x:c r="G41" s="80"/>
      <x:c r="H41" s="80" t="str">
        <x:f>IF(A41="","",SUM(E41:G41))</x:f>
      </x:c>
      <x:c r="I41" s="80"/>
      <x:c r="J41" s="77"/>
      <x:c r="K41" s="80" t="str">
        <x:f>IF(A41="","",J41*Config!$B$8)</x:f>
      </x:c>
      <x:c r="L41" s="80" t="str">
        <x:f>IF(A41="","",H41-I41-K41)</x:f>
      </x:c>
      <x:c r="M41" s="77"/>
      <x:c r="N41" s="77"/>
      <x:c r="O41" s="77"/>
      <x:c r="P41" s="77"/>
    </x:row>
    <x:row r="42">
      <x:c r="A42" s="83"/>
      <x:c r="B42" s="77"/>
      <x:c r="C42" s="77"/>
      <x:c r="D42" s="77"/>
      <x:c r="E42" s="80"/>
      <x:c r="F42" s="80"/>
      <x:c r="G42" s="80"/>
      <x:c r="H42" s="80" t="str">
        <x:f>IF(A42="","",SUM(E42:G42))</x:f>
      </x:c>
      <x:c r="I42" s="80"/>
      <x:c r="J42" s="77"/>
      <x:c r="K42" s="80" t="str">
        <x:f>IF(A42="","",J42*Config!$B$8)</x:f>
      </x:c>
      <x:c r="L42" s="80" t="str">
        <x:f>IF(A42="","",H42-I42-K42)</x:f>
      </x:c>
      <x:c r="M42" s="77"/>
      <x:c r="N42" s="77"/>
      <x:c r="O42" s="77"/>
      <x:c r="P42" s="77"/>
    </x:row>
    <x:row r="43">
      <x:c r="A43" s="83"/>
      <x:c r="B43" s="77"/>
      <x:c r="C43" s="77"/>
      <x:c r="D43" s="77"/>
      <x:c r="E43" s="80"/>
      <x:c r="F43" s="80"/>
      <x:c r="G43" s="80"/>
      <x:c r="H43" s="80" t="str">
        <x:f>IF(A43="","",SUM(E43:G43))</x:f>
      </x:c>
      <x:c r="I43" s="80"/>
      <x:c r="J43" s="77"/>
      <x:c r="K43" s="80" t="str">
        <x:f>IF(A43="","",J43*Config!$B$8)</x:f>
      </x:c>
      <x:c r="L43" s="80" t="str">
        <x:f>IF(A43="","",H43-I43-K43)</x:f>
      </x:c>
      <x:c r="M43" s="77"/>
      <x:c r="N43" s="77"/>
      <x:c r="O43" s="77"/>
      <x:c r="P43" s="77"/>
    </x:row>
    <x:row r="44">
      <x:c r="A44" s="83"/>
      <x:c r="B44" s="77"/>
      <x:c r="C44" s="77"/>
      <x:c r="D44" s="77"/>
      <x:c r="E44" s="80"/>
      <x:c r="F44" s="80"/>
      <x:c r="G44" s="80"/>
      <x:c r="H44" s="80" t="str">
        <x:f>IF(A44="","",SUM(E44:G44))</x:f>
      </x:c>
      <x:c r="I44" s="80"/>
      <x:c r="J44" s="77"/>
      <x:c r="K44" s="80" t="str">
        <x:f>IF(A44="","",J44*Config!$B$8)</x:f>
      </x:c>
      <x:c r="L44" s="80" t="str">
        <x:f>IF(A44="","",H44-I44-K44)</x:f>
      </x:c>
      <x:c r="M44" s="77"/>
      <x:c r="N44" s="77"/>
      <x:c r="O44" s="77"/>
      <x:c r="P44" s="77"/>
    </x:row>
    <x:row r="45">
      <x:c r="A45" s="83"/>
      <x:c r="B45" s="77"/>
      <x:c r="C45" s="77"/>
      <x:c r="D45" s="77"/>
      <x:c r="E45" s="80"/>
      <x:c r="F45" s="80"/>
      <x:c r="G45" s="80"/>
      <x:c r="H45" s="80" t="str">
        <x:f>IF(A45="","",SUM(E45:G45))</x:f>
      </x:c>
      <x:c r="I45" s="80"/>
      <x:c r="J45" s="77"/>
      <x:c r="K45" s="80" t="str">
        <x:f>IF(A45="","",J45*Config!$B$8)</x:f>
      </x:c>
      <x:c r="L45" s="80" t="str">
        <x:f>IF(A45="","",H45-I45-K45)</x:f>
      </x:c>
      <x:c r="M45" s="77"/>
      <x:c r="N45" s="77"/>
      <x:c r="O45" s="77"/>
      <x:c r="P45" s="77"/>
    </x:row>
    <x:row r="46">
      <x:c r="A46" s="83"/>
      <x:c r="B46" s="77"/>
      <x:c r="C46" s="77"/>
      <x:c r="D46" s="77"/>
      <x:c r="E46" s="80"/>
      <x:c r="F46" s="80"/>
      <x:c r="G46" s="80"/>
      <x:c r="H46" s="80" t="str">
        <x:f>IF(A46="","",SUM(E46:G46))</x:f>
      </x:c>
      <x:c r="I46" s="80"/>
      <x:c r="J46" s="77"/>
      <x:c r="K46" s="80" t="str">
        <x:f>IF(A46="","",J46*Config!$B$8)</x:f>
      </x:c>
      <x:c r="L46" s="80" t="str">
        <x:f>IF(A46="","",H46-I46-K46)</x:f>
      </x:c>
      <x:c r="M46" s="77"/>
      <x:c r="N46" s="77"/>
      <x:c r="O46" s="77"/>
      <x:c r="P46" s="77"/>
    </x:row>
    <x:row r="47">
      <x:c r="A47" s="83"/>
      <x:c r="B47" s="77"/>
      <x:c r="C47" s="77"/>
      <x:c r="D47" s="77"/>
      <x:c r="E47" s="80"/>
      <x:c r="F47" s="80"/>
      <x:c r="G47" s="80"/>
      <x:c r="H47" s="80" t="str">
        <x:f>IF(A47="","",SUM(E47:G47))</x:f>
      </x:c>
      <x:c r="I47" s="80"/>
      <x:c r="J47" s="77"/>
      <x:c r="K47" s="80" t="str">
        <x:f>IF(A47="","",J47*Config!$B$8)</x:f>
      </x:c>
      <x:c r="L47" s="80" t="str">
        <x:f>IF(A47="","",H47-I47-K47)</x:f>
      </x:c>
      <x:c r="M47" s="77"/>
      <x:c r="N47" s="77"/>
      <x:c r="O47" s="77"/>
      <x:c r="P47" s="77"/>
    </x:row>
    <x:row r="48">
      <x:c r="A48" s="83"/>
      <x:c r="B48" s="77"/>
      <x:c r="C48" s="77"/>
      <x:c r="D48" s="77"/>
      <x:c r="E48" s="80"/>
      <x:c r="F48" s="80"/>
      <x:c r="G48" s="80"/>
      <x:c r="H48" s="80" t="str">
        <x:f>IF(A48="","",SUM(E48:G48))</x:f>
      </x:c>
      <x:c r="I48" s="80"/>
      <x:c r="J48" s="77"/>
      <x:c r="K48" s="80" t="str">
        <x:f>IF(A48="","",J48*Config!$B$8)</x:f>
      </x:c>
      <x:c r="L48" s="80" t="str">
        <x:f>IF(A48="","",H48-I48-K48)</x:f>
      </x:c>
      <x:c r="M48" s="77"/>
      <x:c r="N48" s="77"/>
      <x:c r="O48" s="77"/>
      <x:c r="P48" s="77"/>
    </x:row>
    <x:row r="49">
      <x:c r="A49" s="83"/>
      <x:c r="B49" s="77"/>
      <x:c r="C49" s="77"/>
      <x:c r="D49" s="77"/>
      <x:c r="E49" s="80"/>
      <x:c r="F49" s="80"/>
      <x:c r="G49" s="80"/>
      <x:c r="H49" s="80" t="str">
        <x:f>IF(A49="","",SUM(E49:G49))</x:f>
      </x:c>
      <x:c r="I49" s="80"/>
      <x:c r="J49" s="77"/>
      <x:c r="K49" s="80" t="str">
        <x:f>IF(A49="","",J49*Config!$B$8)</x:f>
      </x:c>
      <x:c r="L49" s="80" t="str">
        <x:f>IF(A49="","",H49-I49-K49)</x:f>
      </x:c>
      <x:c r="M49" s="77"/>
      <x:c r="N49" s="77"/>
      <x:c r="O49" s="77"/>
      <x:c r="P49" s="77"/>
    </x:row>
    <x:row r="50">
      <x:c r="A50" s="83"/>
      <x:c r="B50" s="77"/>
      <x:c r="C50" s="77"/>
      <x:c r="D50" s="77"/>
      <x:c r="E50" s="80"/>
      <x:c r="F50" s="80"/>
      <x:c r="G50" s="80"/>
      <x:c r="H50" s="80" t="str">
        <x:f>IF(A50="","",SUM(E50:G50))</x:f>
      </x:c>
      <x:c r="I50" s="80"/>
      <x:c r="J50" s="77"/>
      <x:c r="K50" s="80" t="str">
        <x:f>IF(A50="","",J50*Config!$B$8)</x:f>
      </x:c>
      <x:c r="L50" s="80" t="str">
        <x:f>IF(A50="","",H50-I50-K50)</x:f>
      </x:c>
      <x:c r="M50" s="77"/>
      <x:c r="N50" s="77"/>
      <x:c r="O50" s="77"/>
      <x:c r="P50" s="77"/>
    </x:row>
    <x:row r="51">
      <x:c r="A51" s="83"/>
      <x:c r="B51" s="77"/>
      <x:c r="C51" s="77"/>
      <x:c r="D51" s="77"/>
      <x:c r="E51" s="80"/>
      <x:c r="F51" s="80"/>
      <x:c r="G51" s="80"/>
      <x:c r="H51" s="80" t="str">
        <x:f>IF(A51="","",SUM(E51:G51))</x:f>
      </x:c>
      <x:c r="I51" s="80"/>
      <x:c r="J51" s="77"/>
      <x:c r="K51" s="80" t="str">
        <x:f>IF(A51="","",J51*Config!$B$8)</x:f>
      </x:c>
      <x:c r="L51" s="80" t="str">
        <x:f>IF(A51="","",H51-I51-K51)</x:f>
      </x:c>
      <x:c r="M51" s="77"/>
      <x:c r="N51" s="77"/>
      <x:c r="O51" s="77"/>
      <x:c r="P51" s="77"/>
    </x:row>
    <x:row r="52">
      <x:c r="A52" s="83"/>
      <x:c r="B52" s="77"/>
      <x:c r="C52" s="77"/>
      <x:c r="D52" s="77"/>
      <x:c r="E52" s="80"/>
      <x:c r="F52" s="80"/>
      <x:c r="G52" s="80"/>
      <x:c r="H52" s="80" t="str">
        <x:f>IF(A52="","",SUM(E52:G52))</x:f>
      </x:c>
      <x:c r="I52" s="80"/>
      <x:c r="J52" s="77"/>
      <x:c r="K52" s="80" t="str">
        <x:f>IF(A52="","",J52*Config!$B$8)</x:f>
      </x:c>
      <x:c r="L52" s="80" t="str">
        <x:f>IF(A52="","",H52-I52-K52)</x:f>
      </x:c>
      <x:c r="M52" s="77"/>
      <x:c r="N52" s="77"/>
      <x:c r="O52" s="77"/>
      <x:c r="P52" s="77"/>
    </x:row>
    <x:row r="53">
      <x:c r="A53" s="83"/>
      <x:c r="B53" s="77"/>
      <x:c r="C53" s="77"/>
      <x:c r="D53" s="77"/>
      <x:c r="E53" s="80"/>
      <x:c r="F53" s="80"/>
      <x:c r="G53" s="80"/>
      <x:c r="H53" s="80" t="str">
        <x:f>IF(A53="","",SUM(E53:G53))</x:f>
      </x:c>
      <x:c r="I53" s="80"/>
      <x:c r="J53" s="77"/>
      <x:c r="K53" s="80" t="str">
        <x:f>IF(A53="","",J53*Config!$B$8)</x:f>
      </x:c>
      <x:c r="L53" s="80" t="str">
        <x:f>IF(A53="","",H53-I53-K53)</x:f>
      </x:c>
      <x:c r="M53" s="77"/>
      <x:c r="N53" s="77"/>
      <x:c r="O53" s="77"/>
      <x:c r="P53" s="77"/>
    </x:row>
    <x:row r="54">
      <x:c r="A54" s="83"/>
      <x:c r="B54" s="77"/>
      <x:c r="C54" s="77"/>
      <x:c r="D54" s="77"/>
      <x:c r="E54" s="80"/>
      <x:c r="F54" s="80"/>
      <x:c r="G54" s="80"/>
      <x:c r="H54" s="80" t="str">
        <x:f>IF(A54="","",SUM(E54:G54))</x:f>
      </x:c>
      <x:c r="I54" s="80"/>
      <x:c r="J54" s="77"/>
      <x:c r="K54" s="80" t="str">
        <x:f>IF(A54="","",J54*Config!$B$8)</x:f>
      </x:c>
      <x:c r="L54" s="80" t="str">
        <x:f>IF(A54="","",H54-I54-K54)</x:f>
      </x:c>
      <x:c r="M54" s="77"/>
      <x:c r="N54" s="77"/>
      <x:c r="O54" s="77"/>
      <x:c r="P54" s="77"/>
    </x:row>
    <x:row r="55">
      <x:c r="A55" s="83"/>
      <x:c r="B55" s="77"/>
      <x:c r="C55" s="77"/>
      <x:c r="D55" s="77"/>
      <x:c r="E55" s="80"/>
      <x:c r="F55" s="80"/>
      <x:c r="G55" s="80"/>
      <x:c r="H55" s="80" t="str">
        <x:f>IF(A55="","",SUM(E55:G55))</x:f>
      </x:c>
      <x:c r="I55" s="80"/>
      <x:c r="J55" s="77"/>
      <x:c r="K55" s="80" t="str">
        <x:f>IF(A55="","",J55*Config!$B$8)</x:f>
      </x:c>
      <x:c r="L55" s="80" t="str">
        <x:f>IF(A55="","",H55-I55-K55)</x:f>
      </x:c>
      <x:c r="M55" s="77"/>
      <x:c r="N55" s="77"/>
      <x:c r="O55" s="77"/>
      <x:c r="P55" s="77"/>
    </x:row>
    <x:row r="56">
      <x:c r="A56" s="83"/>
      <x:c r="B56" s="77"/>
      <x:c r="C56" s="77"/>
      <x:c r="D56" s="77"/>
      <x:c r="E56" s="80"/>
      <x:c r="F56" s="80"/>
      <x:c r="G56" s="80"/>
      <x:c r="H56" s="80" t="str">
        <x:f>IF(A56="","",SUM(E56:G56))</x:f>
      </x:c>
      <x:c r="I56" s="80"/>
      <x:c r="J56" s="77"/>
      <x:c r="K56" s="80" t="str">
        <x:f>IF(A56="","",J56*Config!$B$8)</x:f>
      </x:c>
      <x:c r="L56" s="80" t="str">
        <x:f>IF(A56="","",H56-I56-K56)</x:f>
      </x:c>
      <x:c r="M56" s="77"/>
      <x:c r="N56" s="77"/>
      <x:c r="O56" s="77"/>
      <x:c r="P56" s="77"/>
    </x:row>
    <x:row r="57">
      <x:c r="A57" s="83"/>
      <x:c r="B57" s="77"/>
      <x:c r="C57" s="77"/>
      <x:c r="D57" s="77"/>
      <x:c r="E57" s="80"/>
      <x:c r="F57" s="80"/>
      <x:c r="G57" s="80"/>
      <x:c r="H57" s="80" t="str">
        <x:f>IF(A57="","",SUM(E57:G57))</x:f>
      </x:c>
      <x:c r="I57" s="80"/>
      <x:c r="J57" s="77"/>
      <x:c r="K57" s="80" t="str">
        <x:f>IF(A57="","",J57*Config!$B$8)</x:f>
      </x:c>
      <x:c r="L57" s="80" t="str">
        <x:f>IF(A57="","",H57-I57-K57)</x:f>
      </x:c>
      <x:c r="M57" s="77"/>
      <x:c r="N57" s="77"/>
      <x:c r="O57" s="77"/>
      <x:c r="P57" s="77"/>
    </x:row>
    <x:row r="58">
      <x:c r="A58" s="83"/>
      <x:c r="B58" s="77"/>
      <x:c r="C58" s="77"/>
      <x:c r="D58" s="77"/>
      <x:c r="E58" s="80"/>
      <x:c r="F58" s="80"/>
      <x:c r="G58" s="80"/>
      <x:c r="H58" s="80" t="str">
        <x:f>IF(A58="","",SUM(E58:G58))</x:f>
      </x:c>
      <x:c r="I58" s="80"/>
      <x:c r="J58" s="77"/>
      <x:c r="K58" s="80" t="str">
        <x:f>IF(A58="","",J58*Config!$B$8)</x:f>
      </x:c>
      <x:c r="L58" s="80" t="str">
        <x:f>IF(A58="","",H58-I58-K58)</x:f>
      </x:c>
      <x:c r="M58" s="77"/>
      <x:c r="N58" s="77"/>
      <x:c r="O58" s="77"/>
      <x:c r="P58" s="77"/>
    </x:row>
    <x:row r="59">
      <x:c r="A59" s="83"/>
      <x:c r="B59" s="77"/>
      <x:c r="C59" s="77"/>
      <x:c r="D59" s="77"/>
      <x:c r="E59" s="80"/>
      <x:c r="F59" s="80"/>
      <x:c r="G59" s="80"/>
      <x:c r="H59" s="80" t="str">
        <x:f>IF(A59="","",SUM(E59:G59))</x:f>
      </x:c>
      <x:c r="I59" s="80"/>
      <x:c r="J59" s="77"/>
      <x:c r="K59" s="80" t="str">
        <x:f>IF(A59="","",J59*Config!$B$8)</x:f>
      </x:c>
      <x:c r="L59" s="80" t="str">
        <x:f>IF(A59="","",H59-I59-K59)</x:f>
      </x:c>
      <x:c r="M59" s="77"/>
      <x:c r="N59" s="77"/>
      <x:c r="O59" s="77"/>
      <x:c r="P59" s="77"/>
    </x:row>
    <x:row r="60">
      <x:c r="A60" s="83"/>
      <x:c r="B60" s="77"/>
      <x:c r="C60" s="77"/>
      <x:c r="D60" s="77"/>
      <x:c r="E60" s="80"/>
      <x:c r="F60" s="80"/>
      <x:c r="G60" s="80"/>
      <x:c r="H60" s="80" t="str">
        <x:f>IF(A60="","",SUM(E60:G60))</x:f>
      </x:c>
      <x:c r="I60" s="80"/>
      <x:c r="J60" s="77"/>
      <x:c r="K60" s="80" t="str">
        <x:f>IF(A60="","",J60*Config!$B$8)</x:f>
      </x:c>
      <x:c r="L60" s="80" t="str">
        <x:f>IF(A60="","",H60-I60-K60)</x:f>
      </x:c>
      <x:c r="M60" s="77"/>
      <x:c r="N60" s="77"/>
      <x:c r="O60" s="77"/>
      <x:c r="P60" s="77"/>
    </x:row>
    <x:row r="61">
      <x:c r="A61" s="83"/>
      <x:c r="B61" s="77"/>
      <x:c r="C61" s="77"/>
      <x:c r="D61" s="77"/>
      <x:c r="E61" s="80"/>
      <x:c r="F61" s="80"/>
      <x:c r="G61" s="80"/>
      <x:c r="H61" s="80" t="str">
        <x:f>IF(A61="","",SUM(E61:G61))</x:f>
      </x:c>
      <x:c r="I61" s="80"/>
      <x:c r="J61" s="77"/>
      <x:c r="K61" s="80" t="str">
        <x:f>IF(A61="","",J61*Config!$B$8)</x:f>
      </x:c>
      <x:c r="L61" s="80" t="str">
        <x:f>IF(A61="","",H61-I61-K61)</x:f>
      </x:c>
      <x:c r="M61" s="77"/>
      <x:c r="N61" s="77"/>
      <x:c r="O61" s="77"/>
      <x:c r="P61" s="77"/>
    </x:row>
    <x:row r="62">
      <x:c r="A62" s="83"/>
      <x:c r="B62" s="77"/>
      <x:c r="C62" s="77"/>
      <x:c r="D62" s="77"/>
      <x:c r="E62" s="80"/>
      <x:c r="F62" s="80"/>
      <x:c r="G62" s="80"/>
      <x:c r="H62" s="80" t="str">
        <x:f>IF(A62="","",SUM(E62:G62))</x:f>
      </x:c>
      <x:c r="I62" s="80"/>
      <x:c r="J62" s="77"/>
      <x:c r="K62" s="80" t="str">
        <x:f>IF(A62="","",J62*Config!$B$8)</x:f>
      </x:c>
      <x:c r="L62" s="80" t="str">
        <x:f>IF(A62="","",H62-I62-K62)</x:f>
      </x:c>
      <x:c r="M62" s="77"/>
      <x:c r="N62" s="77"/>
      <x:c r="O62" s="77"/>
      <x:c r="P62" s="77"/>
    </x:row>
    <x:row r="63">
      <x:c r="A63" s="83"/>
      <x:c r="B63" s="77"/>
      <x:c r="C63" s="77"/>
      <x:c r="D63" s="77"/>
      <x:c r="E63" s="80"/>
      <x:c r="F63" s="80"/>
      <x:c r="G63" s="80"/>
      <x:c r="H63" s="80" t="str">
        <x:f>IF(A63="","",SUM(E63:G63))</x:f>
      </x:c>
      <x:c r="I63" s="80"/>
      <x:c r="J63" s="77"/>
      <x:c r="K63" s="80" t="str">
        <x:f>IF(A63="","",J63*Config!$B$8)</x:f>
      </x:c>
      <x:c r="L63" s="80" t="str">
        <x:f>IF(A63="","",H63-I63-K63)</x:f>
      </x:c>
      <x:c r="M63" s="77"/>
      <x:c r="N63" s="77"/>
      <x:c r="O63" s="77"/>
      <x:c r="P63" s="77"/>
    </x:row>
    <x:row r="64">
      <x:c r="A64" s="83"/>
      <x:c r="B64" s="77"/>
      <x:c r="C64" s="77"/>
      <x:c r="D64" s="77"/>
      <x:c r="E64" s="80"/>
      <x:c r="F64" s="80"/>
      <x:c r="G64" s="80"/>
      <x:c r="H64" s="80" t="str">
        <x:f>IF(A64="","",SUM(E64:G64))</x:f>
      </x:c>
      <x:c r="I64" s="80"/>
      <x:c r="J64" s="77"/>
      <x:c r="K64" s="80" t="str">
        <x:f>IF(A64="","",J64*Config!$B$8)</x:f>
      </x:c>
      <x:c r="L64" s="80" t="str">
        <x:f>IF(A64="","",H64-I64-K64)</x:f>
      </x:c>
      <x:c r="M64" s="77"/>
      <x:c r="N64" s="77"/>
      <x:c r="O64" s="77"/>
      <x:c r="P64" s="77"/>
    </x:row>
    <x:row r="65">
      <x:c r="A65" s="83"/>
      <x:c r="B65" s="77"/>
      <x:c r="C65" s="77"/>
      <x:c r="D65" s="77"/>
      <x:c r="E65" s="80"/>
      <x:c r="F65" s="80"/>
      <x:c r="G65" s="80"/>
      <x:c r="H65" s="80" t="str">
        <x:f>IF(A65="","",SUM(E65:G65))</x:f>
      </x:c>
      <x:c r="I65" s="80"/>
      <x:c r="J65" s="77"/>
      <x:c r="K65" s="80" t="str">
        <x:f>IF(A65="","",J65*Config!$B$8)</x:f>
      </x:c>
      <x:c r="L65" s="80" t="str">
        <x:f>IF(A65="","",H65-I65-K65)</x:f>
      </x:c>
      <x:c r="M65" s="77"/>
      <x:c r="N65" s="77"/>
      <x:c r="O65" s="77"/>
      <x:c r="P65" s="77"/>
    </x:row>
    <x:row r="66">
      <x:c r="A66" s="83"/>
      <x:c r="B66" s="77"/>
      <x:c r="C66" s="77"/>
      <x:c r="D66" s="77"/>
      <x:c r="E66" s="80"/>
      <x:c r="F66" s="80"/>
      <x:c r="G66" s="80"/>
      <x:c r="H66" s="80" t="str">
        <x:f>IF(A66="","",SUM(E66:G66))</x:f>
      </x:c>
      <x:c r="I66" s="80"/>
      <x:c r="J66" s="77"/>
      <x:c r="K66" s="80" t="str">
        <x:f>IF(A66="","",J66*Config!$B$8)</x:f>
      </x:c>
      <x:c r="L66" s="80" t="str">
        <x:f>IF(A66="","",H66-I66-K66)</x:f>
      </x:c>
      <x:c r="M66" s="77"/>
      <x:c r="N66" s="77"/>
      <x:c r="O66" s="77"/>
      <x:c r="P66" s="77"/>
    </x:row>
    <x:row r="67">
      <x:c r="A67" s="83"/>
      <x:c r="B67" s="77"/>
      <x:c r="C67" s="77"/>
      <x:c r="D67" s="77"/>
      <x:c r="E67" s="80"/>
      <x:c r="F67" s="80"/>
      <x:c r="G67" s="80"/>
      <x:c r="H67" s="80" t="str">
        <x:f>IF(A67="","",SUM(E67:G67))</x:f>
      </x:c>
      <x:c r="I67" s="80"/>
      <x:c r="J67" s="77"/>
      <x:c r="K67" s="80" t="str">
        <x:f>IF(A67="","",J67*Config!$B$8)</x:f>
      </x:c>
      <x:c r="L67" s="80" t="str">
        <x:f>IF(A67="","",H67-I67-K67)</x:f>
      </x:c>
      <x:c r="M67" s="77"/>
      <x:c r="N67" s="77"/>
      <x:c r="O67" s="77"/>
      <x:c r="P67" s="77"/>
    </x:row>
    <x:row r="68">
      <x:c r="A68" s="83"/>
      <x:c r="B68" s="77"/>
      <x:c r="C68" s="77"/>
      <x:c r="D68" s="77"/>
      <x:c r="E68" s="80"/>
      <x:c r="F68" s="80"/>
      <x:c r="G68" s="80"/>
      <x:c r="H68" s="80" t="str">
        <x:f>IF(A68="","",SUM(E68:G68))</x:f>
      </x:c>
      <x:c r="I68" s="80"/>
      <x:c r="J68" s="77"/>
      <x:c r="K68" s="80" t="str">
        <x:f>IF(A68="","",J68*Config!$B$8)</x:f>
      </x:c>
      <x:c r="L68" s="80" t="str">
        <x:f>IF(A68="","",H68-I68-K68)</x:f>
      </x:c>
      <x:c r="M68" s="77"/>
      <x:c r="N68" s="77"/>
      <x:c r="O68" s="77"/>
      <x:c r="P68" s="77"/>
    </x:row>
    <x:row r="69">
      <x:c r="A69" s="83"/>
      <x:c r="B69" s="77"/>
      <x:c r="C69" s="77"/>
      <x:c r="D69" s="77"/>
      <x:c r="E69" s="80"/>
      <x:c r="F69" s="80"/>
      <x:c r="G69" s="80"/>
      <x:c r="H69" s="80" t="str">
        <x:f>IF(A69="","",SUM(E69:G69))</x:f>
      </x:c>
      <x:c r="I69" s="80"/>
      <x:c r="J69" s="77"/>
      <x:c r="K69" s="80" t="str">
        <x:f>IF(A69="","",J69*Config!$B$8)</x:f>
      </x:c>
      <x:c r="L69" s="80" t="str">
        <x:f>IF(A69="","",H69-I69-K69)</x:f>
      </x:c>
      <x:c r="M69" s="77"/>
      <x:c r="N69" s="77"/>
      <x:c r="O69" s="77"/>
      <x:c r="P69" s="77"/>
    </x:row>
    <x:row r="70">
      <x:c r="A70" s="83"/>
      <x:c r="B70" s="77"/>
      <x:c r="C70" s="77"/>
      <x:c r="D70" s="77"/>
      <x:c r="E70" s="80"/>
      <x:c r="F70" s="80"/>
      <x:c r="G70" s="80"/>
      <x:c r="H70" s="80" t="str">
        <x:f>IF(A70="","",SUM(E70:G70))</x:f>
      </x:c>
      <x:c r="I70" s="80"/>
      <x:c r="J70" s="77"/>
      <x:c r="K70" s="80" t="str">
        <x:f>IF(A70="","",J70*Config!$B$8)</x:f>
      </x:c>
      <x:c r="L70" s="80" t="str">
        <x:f>IF(A70="","",H70-I70-K70)</x:f>
      </x:c>
      <x:c r="M70" s="77"/>
      <x:c r="N70" s="77"/>
      <x:c r="O70" s="77"/>
      <x:c r="P70" s="77"/>
    </x:row>
    <x:row r="71">
      <x:c r="A71" s="83"/>
      <x:c r="B71" s="77"/>
      <x:c r="C71" s="77"/>
      <x:c r="D71" s="77"/>
      <x:c r="E71" s="80"/>
      <x:c r="F71" s="80"/>
      <x:c r="G71" s="80"/>
      <x:c r="H71" s="80" t="str">
        <x:f>IF(A71="","",SUM(E71:G71))</x:f>
      </x:c>
      <x:c r="I71" s="80"/>
      <x:c r="J71" s="77"/>
      <x:c r="K71" s="80" t="str">
        <x:f>IF(A71="","",J71*Config!$B$8)</x:f>
      </x:c>
      <x:c r="L71" s="80" t="str">
        <x:f>IF(A71="","",H71-I71-K71)</x:f>
      </x:c>
      <x:c r="M71" s="77"/>
      <x:c r="N71" s="77"/>
      <x:c r="O71" s="77"/>
      <x:c r="P71" s="77"/>
    </x:row>
    <x:row r="72">
      <x:c r="A72" s="83"/>
      <x:c r="B72" s="77"/>
      <x:c r="C72" s="77"/>
      <x:c r="D72" s="77"/>
      <x:c r="E72" s="80"/>
      <x:c r="F72" s="80"/>
      <x:c r="G72" s="80"/>
      <x:c r="H72" s="80" t="str">
        <x:f>IF(A72="","",SUM(E72:G72))</x:f>
      </x:c>
      <x:c r="I72" s="80"/>
      <x:c r="J72" s="77"/>
      <x:c r="K72" s="80" t="str">
        <x:f>IF(A72="","",J72*Config!$B$8)</x:f>
      </x:c>
      <x:c r="L72" s="80" t="str">
        <x:f>IF(A72="","",H72-I72-K72)</x:f>
      </x:c>
      <x:c r="M72" s="77"/>
      <x:c r="N72" s="77"/>
      <x:c r="O72" s="77"/>
      <x:c r="P72" s="77"/>
    </x:row>
    <x:row r="73">
      <x:c r="A73" s="83"/>
      <x:c r="B73" s="77"/>
      <x:c r="C73" s="77"/>
      <x:c r="D73" s="77"/>
      <x:c r="E73" s="80"/>
      <x:c r="F73" s="80"/>
      <x:c r="G73" s="80"/>
      <x:c r="H73" s="80" t="str">
        <x:f>IF(A73="","",SUM(E73:G73))</x:f>
      </x:c>
      <x:c r="I73" s="80"/>
      <x:c r="J73" s="77"/>
      <x:c r="K73" s="80" t="str">
        <x:f>IF(A73="","",J73*Config!$B$8)</x:f>
      </x:c>
      <x:c r="L73" s="80" t="str">
        <x:f>IF(A73="","",H73-I73-K73)</x:f>
      </x:c>
      <x:c r="M73" s="77"/>
      <x:c r="N73" s="77"/>
      <x:c r="O73" s="77"/>
      <x:c r="P73" s="77"/>
    </x:row>
    <x:row r="74">
      <x:c r="A74" s="83"/>
      <x:c r="B74" s="77"/>
      <x:c r="C74" s="77"/>
      <x:c r="D74" s="77"/>
      <x:c r="E74" s="80"/>
      <x:c r="F74" s="80"/>
      <x:c r="G74" s="80"/>
      <x:c r="H74" s="80" t="str">
        <x:f>IF(A74="","",SUM(E74:G74))</x:f>
      </x:c>
      <x:c r="I74" s="80"/>
      <x:c r="J74" s="77"/>
      <x:c r="K74" s="80" t="str">
        <x:f>IF(A74="","",J74*Config!$B$8)</x:f>
      </x:c>
      <x:c r="L74" s="80" t="str">
        <x:f>IF(A74="","",H74-I74-K74)</x:f>
      </x:c>
      <x:c r="M74" s="77"/>
      <x:c r="N74" s="77"/>
      <x:c r="O74" s="77"/>
      <x:c r="P74" s="77"/>
    </x:row>
    <x:row r="75">
      <x:c r="A75" s="83"/>
      <x:c r="B75" s="77"/>
      <x:c r="C75" s="77"/>
      <x:c r="D75" s="77"/>
      <x:c r="E75" s="80"/>
      <x:c r="F75" s="80"/>
      <x:c r="G75" s="80"/>
      <x:c r="H75" s="80" t="str">
        <x:f>IF(A75="","",SUM(E75:G75))</x:f>
      </x:c>
      <x:c r="I75" s="80"/>
      <x:c r="J75" s="77"/>
      <x:c r="K75" s="80" t="str">
        <x:f>IF(A75="","",J75*Config!$B$8)</x:f>
      </x:c>
      <x:c r="L75" s="80" t="str">
        <x:f>IF(A75="","",H75-I75-K75)</x:f>
      </x:c>
      <x:c r="M75" s="77"/>
      <x:c r="N75" s="77"/>
      <x:c r="O75" s="77"/>
      <x:c r="P75" s="77"/>
    </x:row>
    <x:row r="76">
      <x:c r="A76" s="83"/>
      <x:c r="B76" s="77"/>
      <x:c r="C76" s="77"/>
      <x:c r="D76" s="77"/>
      <x:c r="E76" s="80"/>
      <x:c r="F76" s="80"/>
      <x:c r="G76" s="80"/>
      <x:c r="H76" s="80" t="str">
        <x:f>IF(A76="","",SUM(E76:G76))</x:f>
      </x:c>
      <x:c r="I76" s="80"/>
      <x:c r="J76" s="77"/>
      <x:c r="K76" s="80" t="str">
        <x:f>IF(A76="","",J76*Config!$B$8)</x:f>
      </x:c>
      <x:c r="L76" s="80" t="str">
        <x:f>IF(A76="","",H76-I76-K76)</x:f>
      </x:c>
      <x:c r="M76" s="77"/>
      <x:c r="N76" s="77"/>
      <x:c r="O76" s="77"/>
      <x:c r="P76" s="77"/>
    </x:row>
    <x:row r="77">
      <x:c r="A77" s="83"/>
      <x:c r="B77" s="77"/>
      <x:c r="C77" s="77"/>
      <x:c r="D77" s="77"/>
      <x:c r="E77" s="80"/>
      <x:c r="F77" s="80"/>
      <x:c r="G77" s="80"/>
      <x:c r="H77" s="80" t="str">
        <x:f>IF(A77="","",SUM(E77:G77))</x:f>
      </x:c>
      <x:c r="I77" s="80"/>
      <x:c r="J77" s="77"/>
      <x:c r="K77" s="80" t="str">
        <x:f>IF(A77="","",J77*Config!$B$8)</x:f>
      </x:c>
      <x:c r="L77" s="80" t="str">
        <x:f>IF(A77="","",H77-I77-K77)</x:f>
      </x:c>
      <x:c r="M77" s="77"/>
      <x:c r="N77" s="77"/>
      <x:c r="O77" s="77"/>
      <x:c r="P77" s="77"/>
    </x:row>
    <x:row r="78">
      <x:c r="A78" s="83"/>
      <x:c r="B78" s="77"/>
      <x:c r="C78" s="77"/>
      <x:c r="D78" s="77"/>
      <x:c r="E78" s="80"/>
      <x:c r="F78" s="80"/>
      <x:c r="G78" s="80"/>
      <x:c r="H78" s="80" t="str">
        <x:f>IF(A78="","",SUM(E78:G78))</x:f>
      </x:c>
      <x:c r="I78" s="80"/>
      <x:c r="J78" s="77"/>
      <x:c r="K78" s="80" t="str">
        <x:f>IF(A78="","",J78*Config!$B$8)</x:f>
      </x:c>
      <x:c r="L78" s="80" t="str">
        <x:f>IF(A78="","",H78-I78-K78)</x:f>
      </x:c>
      <x:c r="M78" s="77"/>
      <x:c r="N78" s="77"/>
      <x:c r="O78" s="77"/>
      <x:c r="P78" s="77"/>
    </x:row>
    <x:row r="79">
      <x:c r="A79" s="83"/>
      <x:c r="B79" s="77"/>
      <x:c r="C79" s="77"/>
      <x:c r="D79" s="77"/>
      <x:c r="E79" s="80"/>
      <x:c r="F79" s="80"/>
      <x:c r="G79" s="80"/>
      <x:c r="H79" s="80" t="str">
        <x:f>IF(A79="","",SUM(E79:G79))</x:f>
      </x:c>
      <x:c r="I79" s="80"/>
      <x:c r="J79" s="77"/>
      <x:c r="K79" s="80" t="str">
        <x:f>IF(A79="","",J79*Config!$B$8)</x:f>
      </x:c>
      <x:c r="L79" s="80" t="str">
        <x:f>IF(A79="","",H79-I79-K79)</x:f>
      </x:c>
      <x:c r="M79" s="77"/>
      <x:c r="N79" s="77"/>
      <x:c r="O79" s="77"/>
      <x:c r="P79" s="77"/>
    </x:row>
    <x:row r="80">
      <x:c r="A80" s="83"/>
      <x:c r="B80" s="77"/>
      <x:c r="C80" s="77"/>
      <x:c r="D80" s="77"/>
      <x:c r="E80" s="80"/>
      <x:c r="F80" s="80"/>
      <x:c r="G80" s="80"/>
      <x:c r="H80" s="80" t="str">
        <x:f>IF(A80="","",SUM(E80:G80))</x:f>
      </x:c>
      <x:c r="I80" s="80"/>
      <x:c r="J80" s="77"/>
      <x:c r="K80" s="80" t="str">
        <x:f>IF(A80="","",J80*Config!$B$8)</x:f>
      </x:c>
      <x:c r="L80" s="80" t="str">
        <x:f>IF(A80="","",H80-I80-K80)</x:f>
      </x:c>
      <x:c r="M80" s="77"/>
      <x:c r="N80" s="77"/>
      <x:c r="O80" s="77"/>
      <x:c r="P80" s="77"/>
    </x:row>
    <x:row r="81">
      <x:c r="A81" s="83"/>
      <x:c r="B81" s="77"/>
      <x:c r="C81" s="77"/>
      <x:c r="D81" s="77"/>
      <x:c r="E81" s="80"/>
      <x:c r="F81" s="80"/>
      <x:c r="G81" s="80"/>
      <x:c r="H81" s="80" t="str">
        <x:f>IF(A81="","",SUM(E81:G81))</x:f>
      </x:c>
      <x:c r="I81" s="80"/>
      <x:c r="J81" s="77"/>
      <x:c r="K81" s="80" t="str">
        <x:f>IF(A81="","",J81*Config!$B$8)</x:f>
      </x:c>
      <x:c r="L81" s="80" t="str">
        <x:f>IF(A81="","",H81-I81-K81)</x:f>
      </x:c>
      <x:c r="M81" s="77"/>
      <x:c r="N81" s="77"/>
      <x:c r="O81" s="77"/>
      <x:c r="P81" s="77"/>
    </x:row>
    <x:row r="82">
      <x:c r="A82" s="83"/>
      <x:c r="B82" s="77"/>
      <x:c r="C82" s="77"/>
      <x:c r="D82" s="77"/>
      <x:c r="E82" s="80"/>
      <x:c r="F82" s="80"/>
      <x:c r="G82" s="80"/>
      <x:c r="H82" s="80" t="str">
        <x:f>IF(A82="","",SUM(E82:G82))</x:f>
      </x:c>
      <x:c r="I82" s="80"/>
      <x:c r="J82" s="77"/>
      <x:c r="K82" s="80" t="str">
        <x:f>IF(A82="","",J82*Config!$B$8)</x:f>
      </x:c>
      <x:c r="L82" s="80" t="str">
        <x:f>IF(A82="","",H82-I82-K82)</x:f>
      </x:c>
      <x:c r="M82" s="77"/>
      <x:c r="N82" s="77"/>
      <x:c r="O82" s="77"/>
      <x:c r="P82" s="77"/>
    </x:row>
    <x:row r="83">
      <x:c r="A83" s="83"/>
      <x:c r="B83" s="77"/>
      <x:c r="C83" s="77"/>
      <x:c r="D83" s="77"/>
      <x:c r="E83" s="80"/>
      <x:c r="F83" s="80"/>
      <x:c r="G83" s="80"/>
      <x:c r="H83" s="80" t="str">
        <x:f>IF(A83="","",SUM(E83:G83))</x:f>
      </x:c>
      <x:c r="I83" s="80"/>
      <x:c r="J83" s="77"/>
      <x:c r="K83" s="80" t="str">
        <x:f>IF(A83="","",J83*Config!$B$8)</x:f>
      </x:c>
      <x:c r="L83" s="80" t="str">
        <x:f>IF(A83="","",H83-I83-K83)</x:f>
      </x:c>
      <x:c r="M83" s="77"/>
      <x:c r="N83" s="77"/>
      <x:c r="O83" s="77"/>
      <x:c r="P83" s="77"/>
    </x:row>
    <x:row r="84">
      <x:c r="A84" s="83"/>
      <x:c r="B84" s="77"/>
      <x:c r="C84" s="77"/>
      <x:c r="D84" s="77"/>
      <x:c r="E84" s="80"/>
      <x:c r="F84" s="80"/>
      <x:c r="G84" s="80"/>
      <x:c r="H84" s="80" t="str">
        <x:f>IF(A84="","",SUM(E84:G84))</x:f>
      </x:c>
      <x:c r="I84" s="80"/>
      <x:c r="J84" s="77"/>
      <x:c r="K84" s="80" t="str">
        <x:f>IF(A84="","",J84*Config!$B$8)</x:f>
      </x:c>
      <x:c r="L84" s="80" t="str">
        <x:f>IF(A84="","",H84-I84-K84)</x:f>
      </x:c>
      <x:c r="M84" s="77"/>
      <x:c r="N84" s="77"/>
      <x:c r="O84" s="77"/>
      <x:c r="P84" s="77"/>
    </x:row>
    <x:row r="85">
      <x:c r="A85" s="83"/>
      <x:c r="B85" s="77"/>
      <x:c r="C85" s="77"/>
      <x:c r="D85" s="77"/>
      <x:c r="E85" s="80"/>
      <x:c r="F85" s="80"/>
      <x:c r="G85" s="80"/>
      <x:c r="H85" s="80" t="str">
        <x:f>IF(A85="","",SUM(E85:G85))</x:f>
      </x:c>
      <x:c r="I85" s="80"/>
      <x:c r="J85" s="77"/>
      <x:c r="K85" s="80" t="str">
        <x:f>IF(A85="","",J85*Config!$B$8)</x:f>
      </x:c>
      <x:c r="L85" s="80" t="str">
        <x:f>IF(A85="","",H85-I85-K85)</x:f>
      </x:c>
      <x:c r="M85" s="77"/>
      <x:c r="N85" s="77"/>
      <x:c r="O85" s="77"/>
      <x:c r="P85" s="77"/>
    </x:row>
    <x:row r="86">
      <x:c r="A86" s="83"/>
      <x:c r="B86" s="77"/>
      <x:c r="C86" s="77"/>
      <x:c r="D86" s="77"/>
      <x:c r="E86" s="80"/>
      <x:c r="F86" s="80"/>
      <x:c r="G86" s="80"/>
      <x:c r="H86" s="80" t="str">
        <x:f>IF(A86="","",SUM(E86:G86))</x:f>
      </x:c>
      <x:c r="I86" s="80"/>
      <x:c r="J86" s="77"/>
      <x:c r="K86" s="80" t="str">
        <x:f>IF(A86="","",J86*Config!$B$8)</x:f>
      </x:c>
      <x:c r="L86" s="80" t="str">
        <x:f>IF(A86="","",H86-I86-K86)</x:f>
      </x:c>
      <x:c r="M86" s="77"/>
      <x:c r="N86" s="77"/>
      <x:c r="O86" s="77"/>
      <x:c r="P86" s="77"/>
    </x:row>
    <x:row r="87">
      <x:c r="A87" s="83"/>
      <x:c r="B87" s="77"/>
      <x:c r="C87" s="77"/>
      <x:c r="D87" s="77"/>
      <x:c r="E87" s="80"/>
      <x:c r="F87" s="80"/>
      <x:c r="G87" s="80"/>
      <x:c r="H87" s="80" t="str">
        <x:f>IF(A87="","",SUM(E87:G87))</x:f>
      </x:c>
      <x:c r="I87" s="80"/>
      <x:c r="J87" s="77"/>
      <x:c r="K87" s="80" t="str">
        <x:f>IF(A87="","",J87*Config!$B$8)</x:f>
      </x:c>
      <x:c r="L87" s="80" t="str">
        <x:f>IF(A87="","",H87-I87-K87)</x:f>
      </x:c>
      <x:c r="M87" s="77"/>
      <x:c r="N87" s="77"/>
      <x:c r="O87" s="77"/>
      <x:c r="P87" s="77"/>
    </x:row>
    <x:row r="88">
      <x:c r="A88" s="83"/>
      <x:c r="B88" s="77"/>
      <x:c r="C88" s="77"/>
      <x:c r="D88" s="77"/>
      <x:c r="E88" s="80"/>
      <x:c r="F88" s="80"/>
      <x:c r="G88" s="80"/>
      <x:c r="H88" s="80" t="str">
        <x:f>IF(A88="","",SUM(E88:G88))</x:f>
      </x:c>
      <x:c r="I88" s="80"/>
      <x:c r="J88" s="77"/>
      <x:c r="K88" s="80" t="str">
        <x:f>IF(A88="","",J88*Config!$B$8)</x:f>
      </x:c>
      <x:c r="L88" s="80" t="str">
        <x:f>IF(A88="","",H88-I88-K88)</x:f>
      </x:c>
      <x:c r="M88" s="77"/>
      <x:c r="N88" s="77"/>
      <x:c r="O88" s="77"/>
      <x:c r="P88" s="77"/>
    </x:row>
    <x:row r="89">
      <x:c r="A89" s="83"/>
      <x:c r="B89" s="77"/>
      <x:c r="C89" s="77"/>
      <x:c r="D89" s="77"/>
      <x:c r="E89" s="80"/>
      <x:c r="F89" s="80"/>
      <x:c r="G89" s="80"/>
      <x:c r="H89" s="80" t="str">
        <x:f>IF(A89="","",SUM(E89:G89))</x:f>
      </x:c>
      <x:c r="I89" s="80"/>
      <x:c r="J89" s="77"/>
      <x:c r="K89" s="80" t="str">
        <x:f>IF(A89="","",J89*Config!$B$8)</x:f>
      </x:c>
      <x:c r="L89" s="80" t="str">
        <x:f>IF(A89="","",H89-I89-K89)</x:f>
      </x:c>
      <x:c r="M89" s="77"/>
      <x:c r="N89" s="77"/>
      <x:c r="O89" s="77"/>
      <x:c r="P89" s="77"/>
    </x:row>
    <x:row r="90">
      <x:c r="A90" s="83"/>
      <x:c r="B90" s="77"/>
      <x:c r="C90" s="77"/>
      <x:c r="D90" s="77"/>
      <x:c r="E90" s="80"/>
      <x:c r="F90" s="80"/>
      <x:c r="G90" s="80"/>
      <x:c r="H90" s="80" t="str">
        <x:f>IF(A90="","",SUM(E90:G90))</x:f>
      </x:c>
      <x:c r="I90" s="80"/>
      <x:c r="J90" s="77"/>
      <x:c r="K90" s="80" t="str">
        <x:f>IF(A90="","",J90*Config!$B$8)</x:f>
      </x:c>
      <x:c r="L90" s="80" t="str">
        <x:f>IF(A90="","",H90-I90-K90)</x:f>
      </x:c>
      <x:c r="M90" s="77"/>
      <x:c r="N90" s="77"/>
      <x:c r="O90" s="77"/>
      <x:c r="P90" s="77"/>
    </x:row>
    <x:row r="91">
      <x:c r="A91" s="83"/>
      <x:c r="B91" s="77"/>
      <x:c r="C91" s="77"/>
      <x:c r="D91" s="77"/>
      <x:c r="E91" s="80"/>
      <x:c r="F91" s="80"/>
      <x:c r="G91" s="80"/>
      <x:c r="H91" s="80" t="str">
        <x:f>IF(A91="","",SUM(E91:G91))</x:f>
      </x:c>
      <x:c r="I91" s="80"/>
      <x:c r="J91" s="77"/>
      <x:c r="K91" s="80" t="str">
        <x:f>IF(A91="","",J91*Config!$B$8)</x:f>
      </x:c>
      <x:c r="L91" s="80" t="str">
        <x:f>IF(A91="","",H91-I91-K91)</x:f>
      </x:c>
      <x:c r="M91" s="77"/>
      <x:c r="N91" s="77"/>
      <x:c r="O91" s="77"/>
      <x:c r="P91" s="77"/>
    </x:row>
    <x:row r="92">
      <x:c r="A92" s="83"/>
      <x:c r="B92" s="77"/>
      <x:c r="C92" s="77"/>
      <x:c r="D92" s="77"/>
      <x:c r="E92" s="80"/>
      <x:c r="F92" s="80"/>
      <x:c r="G92" s="80"/>
      <x:c r="H92" s="80" t="str">
        <x:f>IF(A92="","",SUM(E92:G92))</x:f>
      </x:c>
      <x:c r="I92" s="80"/>
      <x:c r="J92" s="77"/>
      <x:c r="K92" s="80" t="str">
        <x:f>IF(A92="","",J92*Config!$B$8)</x:f>
      </x:c>
      <x:c r="L92" s="80" t="str">
        <x:f>IF(A92="","",H92-I92-K92)</x:f>
      </x:c>
      <x:c r="M92" s="77"/>
      <x:c r="N92" s="77"/>
      <x:c r="O92" s="77"/>
      <x:c r="P92" s="77"/>
    </x:row>
    <x:row r="93">
      <x:c r="A93" s="83"/>
      <x:c r="B93" s="77"/>
      <x:c r="C93" s="77"/>
      <x:c r="D93" s="77"/>
      <x:c r="E93" s="80"/>
      <x:c r="F93" s="80"/>
      <x:c r="G93" s="80"/>
      <x:c r="H93" s="80" t="str">
        <x:f>IF(A93="","",SUM(E93:G93))</x:f>
      </x:c>
      <x:c r="I93" s="80"/>
      <x:c r="J93" s="77"/>
      <x:c r="K93" s="80" t="str">
        <x:f>IF(A93="","",J93*Config!$B$8)</x:f>
      </x:c>
      <x:c r="L93" s="80" t="str">
        <x:f>IF(A93="","",H93-I93-K93)</x:f>
      </x:c>
      <x:c r="M93" s="77"/>
      <x:c r="N93" s="77"/>
      <x:c r="O93" s="77"/>
      <x:c r="P93" s="77"/>
    </x:row>
    <x:row r="94">
      <x:c r="A94" s="83"/>
      <x:c r="B94" s="77"/>
      <x:c r="C94" s="77"/>
      <x:c r="D94" s="77"/>
      <x:c r="E94" s="80"/>
      <x:c r="F94" s="80"/>
      <x:c r="G94" s="80"/>
      <x:c r="H94" s="80" t="str">
        <x:f>IF(A94="","",SUM(E94:G94))</x:f>
      </x:c>
      <x:c r="I94" s="80"/>
      <x:c r="J94" s="77"/>
      <x:c r="K94" s="80" t="str">
        <x:f>IF(A94="","",J94*Config!$B$8)</x:f>
      </x:c>
      <x:c r="L94" s="80" t="str">
        <x:f>IF(A94="","",H94-I94-K94)</x:f>
      </x:c>
      <x:c r="M94" s="77"/>
      <x:c r="N94" s="77"/>
      <x:c r="O94" s="77"/>
      <x:c r="P94" s="77"/>
    </x:row>
    <x:row r="95">
      <x:c r="A95" s="83"/>
      <x:c r="B95" s="77"/>
      <x:c r="C95" s="77"/>
      <x:c r="D95" s="77"/>
      <x:c r="E95" s="80"/>
      <x:c r="F95" s="80"/>
      <x:c r="G95" s="80"/>
      <x:c r="H95" s="80" t="str">
        <x:f>IF(A95="","",SUM(E95:G95))</x:f>
      </x:c>
      <x:c r="I95" s="80"/>
      <x:c r="J95" s="77"/>
      <x:c r="K95" s="80" t="str">
        <x:f>IF(A95="","",J95*Config!$B$8)</x:f>
      </x:c>
      <x:c r="L95" s="80" t="str">
        <x:f>IF(A95="","",H95-I95-K95)</x:f>
      </x:c>
      <x:c r="M95" s="77"/>
      <x:c r="N95" s="77"/>
      <x:c r="O95" s="77"/>
      <x:c r="P95" s="77"/>
    </x:row>
    <x:row r="96">
      <x:c r="A96" s="83"/>
      <x:c r="B96" s="77"/>
      <x:c r="C96" s="77"/>
      <x:c r="D96" s="77"/>
      <x:c r="E96" s="80"/>
      <x:c r="F96" s="80"/>
      <x:c r="G96" s="80"/>
      <x:c r="H96" s="80" t="str">
        <x:f>IF(A96="","",SUM(E96:G96))</x:f>
      </x:c>
      <x:c r="I96" s="80"/>
      <x:c r="J96" s="77"/>
      <x:c r="K96" s="80" t="str">
        <x:f>IF(A96="","",J96*Config!$B$8)</x:f>
      </x:c>
      <x:c r="L96" s="80" t="str">
        <x:f>IF(A96="","",H96-I96-K96)</x:f>
      </x:c>
      <x:c r="M96" s="77"/>
      <x:c r="N96" s="77"/>
      <x:c r="O96" s="77"/>
      <x:c r="P96" s="77"/>
    </x:row>
    <x:row r="97">
      <x:c r="A97" s="83"/>
      <x:c r="B97" s="77"/>
      <x:c r="C97" s="77"/>
      <x:c r="D97" s="77"/>
      <x:c r="E97" s="80"/>
      <x:c r="F97" s="80"/>
      <x:c r="G97" s="80"/>
      <x:c r="H97" s="80" t="str">
        <x:f>IF(A97="","",SUM(E97:G97))</x:f>
      </x:c>
      <x:c r="I97" s="80"/>
      <x:c r="J97" s="77"/>
      <x:c r="K97" s="80" t="str">
        <x:f>IF(A97="","",J97*Config!$B$8)</x:f>
      </x:c>
      <x:c r="L97" s="80" t="str">
        <x:f>IF(A97="","",H97-I97-K97)</x:f>
      </x:c>
      <x:c r="M97" s="77"/>
      <x:c r="N97" s="77"/>
      <x:c r="O97" s="77"/>
      <x:c r="P97" s="77"/>
    </x:row>
    <x:row r="98">
      <x:c r="A98" s="83"/>
      <x:c r="B98" s="77"/>
      <x:c r="C98" s="77"/>
      <x:c r="D98" s="77"/>
      <x:c r="E98" s="80"/>
      <x:c r="F98" s="80"/>
      <x:c r="G98" s="80"/>
      <x:c r="H98" s="80" t="str">
        <x:f>IF(A98="","",SUM(E98:G98))</x:f>
      </x:c>
      <x:c r="I98" s="80"/>
      <x:c r="J98" s="77"/>
      <x:c r="K98" s="80" t="str">
        <x:f>IF(A98="","",J98*Config!$B$8)</x:f>
      </x:c>
      <x:c r="L98" s="80" t="str">
        <x:f>IF(A98="","",H98-I98-K98)</x:f>
      </x:c>
      <x:c r="M98" s="77"/>
      <x:c r="N98" s="77"/>
      <x:c r="O98" s="77"/>
      <x:c r="P98" s="77"/>
    </x:row>
    <x:row r="99">
      <x:c r="A99" s="83"/>
      <x:c r="B99" s="77"/>
      <x:c r="C99" s="77"/>
      <x:c r="D99" s="77"/>
      <x:c r="E99" s="80"/>
      <x:c r="F99" s="80"/>
      <x:c r="G99" s="80"/>
      <x:c r="H99" s="80" t="str">
        <x:f>IF(A99="","",SUM(E99:G99))</x:f>
      </x:c>
      <x:c r="I99" s="80"/>
      <x:c r="J99" s="77"/>
      <x:c r="K99" s="80" t="str">
        <x:f>IF(A99="","",J99*Config!$B$8)</x:f>
      </x:c>
      <x:c r="L99" s="80" t="str">
        <x:f>IF(A99="","",H99-I99-K99)</x:f>
      </x:c>
      <x:c r="M99" s="77"/>
      <x:c r="N99" s="77"/>
      <x:c r="O99" s="77"/>
      <x:c r="P99" s="77"/>
    </x:row>
    <x:row r="100">
      <x:c r="A100" s="83"/>
      <x:c r="B100" s="77"/>
      <x:c r="C100" s="77"/>
      <x:c r="D100" s="77"/>
      <x:c r="E100" s="80"/>
      <x:c r="F100" s="80"/>
      <x:c r="G100" s="80"/>
      <x:c r="H100" s="80" t="str">
        <x:f>IF(A100="","",SUM(E100:G100))</x:f>
      </x:c>
      <x:c r="I100" s="80"/>
      <x:c r="J100" s="77"/>
      <x:c r="K100" s="80" t="str">
        <x:f>IF(A100="","",J100*Config!$B$8)</x:f>
      </x:c>
      <x:c r="L100" s="80" t="str">
        <x:f>IF(A100="","",H100-I100-K100)</x:f>
      </x:c>
      <x:c r="M100" s="77"/>
      <x:c r="N100" s="77"/>
      <x:c r="O100" s="77"/>
      <x:c r="P100" s="77"/>
    </x:row>
    <x:row r="101">
      <x:c r="A101" s="83"/>
      <x:c r="B101" s="77"/>
      <x:c r="C101" s="77"/>
      <x:c r="D101" s="77"/>
      <x:c r="E101" s="80"/>
      <x:c r="F101" s="80"/>
      <x:c r="G101" s="80"/>
      <x:c r="H101" s="80" t="str">
        <x:f>IF(A101="","",SUM(E101:G101))</x:f>
      </x:c>
      <x:c r="I101" s="80"/>
      <x:c r="J101" s="77"/>
      <x:c r="K101" s="80" t="str">
        <x:f>IF(A101="","",J101*Config!$B$8)</x:f>
      </x:c>
      <x:c r="L101" s="80" t="str">
        <x:f>IF(A101="","",H101-I101-K101)</x:f>
      </x:c>
      <x:c r="M101" s="77"/>
      <x:c r="N101" s="77"/>
      <x:c r="O101" s="77"/>
      <x:c r="P101" s="77"/>
    </x:row>
    <x:row r="102">
      <x:c r="A102" s="83"/>
      <x:c r="B102" s="77"/>
      <x:c r="C102" s="77"/>
      <x:c r="D102" s="77"/>
      <x:c r="E102" s="80"/>
      <x:c r="F102" s="80"/>
      <x:c r="G102" s="80"/>
      <x:c r="H102" s="80" t="str">
        <x:f>IF(A102="","",SUM(E102:G102))</x:f>
      </x:c>
      <x:c r="I102" s="80"/>
      <x:c r="J102" s="77"/>
      <x:c r="K102" s="80" t="str">
        <x:f>IF(A102="","",J102*Config!$B$8)</x:f>
      </x:c>
      <x:c r="L102" s="80" t="str">
        <x:f>IF(A102="","",H102-I102-K102)</x:f>
      </x:c>
      <x:c r="M102" s="77"/>
      <x:c r="N102" s="77"/>
      <x:c r="O102" s="77"/>
      <x:c r="P102" s="77"/>
    </x:row>
    <x:row r="103">
      <x:c r="A103" s="83"/>
      <x:c r="B103" s="77"/>
      <x:c r="C103" s="77"/>
      <x:c r="D103" s="77"/>
      <x:c r="E103" s="80"/>
      <x:c r="F103" s="80"/>
      <x:c r="G103" s="80"/>
      <x:c r="H103" s="80" t="str">
        <x:f>IF(A103="","",SUM(E103:G103))</x:f>
      </x:c>
      <x:c r="I103" s="80"/>
      <x:c r="J103" s="77"/>
      <x:c r="K103" s="80" t="str">
        <x:f>IF(A103="","",J103*Config!$B$8)</x:f>
      </x:c>
      <x:c r="L103" s="80" t="str">
        <x:f>IF(A103="","",H103-I103-K103)</x:f>
      </x:c>
      <x:c r="M103" s="77"/>
      <x:c r="N103" s="77"/>
      <x:c r="O103" s="77"/>
      <x:c r="P103" s="77"/>
    </x:row>
    <x:row r="104">
      <x:c r="A104" s="83"/>
      <x:c r="B104" s="77"/>
      <x:c r="C104" s="77"/>
      <x:c r="D104" s="77"/>
      <x:c r="E104" s="80"/>
      <x:c r="F104" s="80"/>
      <x:c r="G104" s="80"/>
      <x:c r="H104" s="80" t="str">
        <x:f>IF(A104="","",SUM(E104:G104))</x:f>
      </x:c>
      <x:c r="I104" s="80"/>
      <x:c r="J104" s="77"/>
      <x:c r="K104" s="80" t="str">
        <x:f>IF(A104="","",J104*Config!$B$8)</x:f>
      </x:c>
      <x:c r="L104" s="80" t="str">
        <x:f>IF(A104="","",H104-I104-K104)</x:f>
      </x:c>
      <x:c r="M104" s="77"/>
      <x:c r="N104" s="77"/>
      <x:c r="O104" s="77"/>
      <x:c r="P104" s="77"/>
    </x:row>
    <x:row r="105">
      <x:c r="A105" s="83"/>
      <x:c r="B105" s="77"/>
      <x:c r="C105" s="77"/>
      <x:c r="D105" s="77"/>
      <x:c r="E105" s="80"/>
      <x:c r="F105" s="80"/>
      <x:c r="G105" s="80"/>
      <x:c r="H105" s="80" t="str">
        <x:f>IF(A105="","",SUM(E105:G105))</x:f>
      </x:c>
      <x:c r="I105" s="80"/>
      <x:c r="J105" s="77"/>
      <x:c r="K105" s="80" t="str">
        <x:f>IF(A105="","",J105*Config!$B$8)</x:f>
      </x:c>
      <x:c r="L105" s="80" t="str">
        <x:f>IF(A105="","",H105-I105-K105)</x:f>
      </x:c>
      <x:c r="M105" s="77"/>
      <x:c r="N105" s="77"/>
      <x:c r="O105" s="77"/>
      <x:c r="P105" s="77"/>
    </x:row>
    <x:row r="106">
      <x:c r="A106" s="83"/>
      <x:c r="B106" s="77"/>
      <x:c r="C106" s="77"/>
      <x:c r="D106" s="77"/>
      <x:c r="E106" s="80"/>
      <x:c r="F106" s="80"/>
      <x:c r="G106" s="80"/>
      <x:c r="H106" s="80" t="str">
        <x:f>IF(A106="","",SUM(E106:G106))</x:f>
      </x:c>
      <x:c r="I106" s="80"/>
      <x:c r="J106" s="77"/>
      <x:c r="K106" s="80" t="str">
        <x:f>IF(A106="","",J106*Config!$B$8)</x:f>
      </x:c>
      <x:c r="L106" s="80" t="str">
        <x:f>IF(A106="","",H106-I106-K106)</x:f>
      </x:c>
      <x:c r="M106" s="77"/>
      <x:c r="N106" s="77"/>
      <x:c r="O106" s="77"/>
      <x:c r="P106" s="77"/>
    </x:row>
    <x:row r="107">
      <x:c r="A107" s="83"/>
      <x:c r="B107" s="77"/>
      <x:c r="C107" s="77"/>
      <x:c r="D107" s="77"/>
      <x:c r="E107" s="80"/>
      <x:c r="F107" s="80"/>
      <x:c r="G107" s="80"/>
      <x:c r="H107" s="80" t="str">
        <x:f>IF(A107="","",SUM(E107:G107))</x:f>
      </x:c>
      <x:c r="I107" s="80"/>
      <x:c r="J107" s="77"/>
      <x:c r="K107" s="80" t="str">
        <x:f>IF(A107="","",J107*Config!$B$8)</x:f>
      </x:c>
      <x:c r="L107" s="80" t="str">
        <x:f>IF(A107="","",H107-I107-K107)</x:f>
      </x:c>
      <x:c r="M107" s="77"/>
      <x:c r="N107" s="77"/>
      <x:c r="O107" s="77"/>
      <x:c r="P107" s="77"/>
    </x:row>
    <x:row r="108">
      <x:c r="A108" s="83"/>
      <x:c r="B108" s="77"/>
      <x:c r="C108" s="77"/>
      <x:c r="D108" s="77"/>
      <x:c r="E108" s="80"/>
      <x:c r="F108" s="80"/>
      <x:c r="G108" s="80"/>
      <x:c r="H108" s="80" t="str">
        <x:f>IF(A108="","",SUM(E108:G108))</x:f>
      </x:c>
      <x:c r="I108" s="80"/>
      <x:c r="J108" s="77"/>
      <x:c r="K108" s="80" t="str">
        <x:f>IF(A108="","",J108*Config!$B$8)</x:f>
      </x:c>
      <x:c r="L108" s="80" t="str">
        <x:f>IF(A108="","",H108-I108-K108)</x:f>
      </x:c>
      <x:c r="M108" s="77"/>
      <x:c r="N108" s="77"/>
      <x:c r="O108" s="77"/>
      <x:c r="P108" s="77"/>
    </x:row>
    <x:row r="109">
      <x:c r="A109" s="83"/>
      <x:c r="B109" s="77"/>
      <x:c r="C109" s="77"/>
      <x:c r="D109" s="77"/>
      <x:c r="E109" s="80"/>
      <x:c r="F109" s="80"/>
      <x:c r="G109" s="80"/>
      <x:c r="H109" s="80" t="str">
        <x:f>IF(A109="","",SUM(E109:G109))</x:f>
      </x:c>
      <x:c r="I109" s="80"/>
      <x:c r="J109" s="77"/>
      <x:c r="K109" s="80" t="str">
        <x:f>IF(A109="","",J109*Config!$B$8)</x:f>
      </x:c>
      <x:c r="L109" s="80" t="str">
        <x:f>IF(A109="","",H109-I109-K109)</x:f>
      </x:c>
      <x:c r="M109" s="77"/>
      <x:c r="N109" s="77"/>
      <x:c r="O109" s="77"/>
      <x:c r="P109" s="77"/>
    </x:row>
    <x:row r="110">
      <x:c r="A110" s="83"/>
      <x:c r="B110" s="77"/>
      <x:c r="C110" s="77"/>
      <x:c r="D110" s="77"/>
      <x:c r="E110" s="80"/>
      <x:c r="F110" s="80"/>
      <x:c r="G110" s="80"/>
      <x:c r="H110" s="80" t="str">
        <x:f>IF(A110="","",SUM(E110:G110))</x:f>
      </x:c>
      <x:c r="I110" s="80"/>
      <x:c r="J110" s="77"/>
      <x:c r="K110" s="80" t="str">
        <x:f>IF(A110="","",J110*Config!$B$8)</x:f>
      </x:c>
      <x:c r="L110" s="80" t="str">
        <x:f>IF(A110="","",H110-I110-K110)</x:f>
      </x:c>
      <x:c r="M110" s="77"/>
      <x:c r="N110" s="77"/>
      <x:c r="O110" s="77"/>
      <x:c r="P110" s="77"/>
    </x:row>
    <x:row r="111">
      <x:c r="A111" s="83"/>
      <x:c r="B111" s="77"/>
      <x:c r="C111" s="77"/>
      <x:c r="D111" s="77"/>
      <x:c r="E111" s="80"/>
      <x:c r="F111" s="80"/>
      <x:c r="G111" s="80"/>
      <x:c r="H111" s="80" t="str">
        <x:f>IF(A111="","",SUM(E111:G111))</x:f>
      </x:c>
      <x:c r="I111" s="80"/>
      <x:c r="J111" s="77"/>
      <x:c r="K111" s="80" t="str">
        <x:f>IF(A111="","",J111*Config!$B$8)</x:f>
      </x:c>
      <x:c r="L111" s="80" t="str">
        <x:f>IF(A111="","",H111-I111-K111)</x:f>
      </x:c>
      <x:c r="M111" s="77"/>
      <x:c r="N111" s="77"/>
      <x:c r="O111" s="77"/>
      <x:c r="P111" s="77"/>
    </x:row>
    <x:row r="112">
      <x:c r="A112" s="83"/>
      <x:c r="B112" s="77"/>
      <x:c r="C112" s="77"/>
      <x:c r="D112" s="77"/>
      <x:c r="E112" s="80"/>
      <x:c r="F112" s="80"/>
      <x:c r="G112" s="80"/>
      <x:c r="H112" s="80" t="str">
        <x:f>IF(A112="","",SUM(E112:G112))</x:f>
      </x:c>
      <x:c r="I112" s="80"/>
      <x:c r="J112" s="77"/>
      <x:c r="K112" s="80" t="str">
        <x:f>IF(A112="","",J112*Config!$B$8)</x:f>
      </x:c>
      <x:c r="L112" s="80" t="str">
        <x:f>IF(A112="","",H112-I112-K112)</x:f>
      </x:c>
      <x:c r="M112" s="77"/>
      <x:c r="N112" s="77"/>
      <x:c r="O112" s="77"/>
      <x:c r="P112" s="77"/>
    </x:row>
    <x:row r="113">
      <x:c r="A113" s="83"/>
      <x:c r="B113" s="77"/>
      <x:c r="C113" s="77"/>
      <x:c r="D113" s="77"/>
      <x:c r="E113" s="80"/>
      <x:c r="F113" s="80"/>
      <x:c r="G113" s="80"/>
      <x:c r="H113" s="80" t="str">
        <x:f>IF(A113="","",SUM(E113:G113))</x:f>
      </x:c>
      <x:c r="I113" s="80"/>
      <x:c r="J113" s="77"/>
      <x:c r="K113" s="80" t="str">
        <x:f>IF(A113="","",J113*Config!$B$8)</x:f>
      </x:c>
      <x:c r="L113" s="80" t="str">
        <x:f>IF(A113="","",H113-I113-K113)</x:f>
      </x:c>
      <x:c r="M113" s="77"/>
      <x:c r="N113" s="77"/>
      <x:c r="O113" s="77"/>
      <x:c r="P113" s="77"/>
    </x:row>
    <x:row r="114">
      <x:c r="A114" s="83"/>
      <x:c r="B114" s="77"/>
      <x:c r="C114" s="77"/>
      <x:c r="D114" s="77"/>
      <x:c r="E114" s="80"/>
      <x:c r="F114" s="80"/>
      <x:c r="G114" s="80"/>
      <x:c r="H114" s="80" t="str">
        <x:f>IF(A114="","",SUM(E114:G114))</x:f>
      </x:c>
      <x:c r="I114" s="80"/>
      <x:c r="J114" s="77"/>
      <x:c r="K114" s="80" t="str">
        <x:f>IF(A114="","",J114*Config!$B$8)</x:f>
      </x:c>
      <x:c r="L114" s="80" t="str">
        <x:f>IF(A114="","",H114-I114-K114)</x:f>
      </x:c>
      <x:c r="M114" s="77"/>
      <x:c r="N114" s="77"/>
      <x:c r="O114" s="77"/>
      <x:c r="P114" s="77"/>
    </x:row>
    <x:row r="115">
      <x:c r="A115" s="83"/>
      <x:c r="B115" s="77"/>
      <x:c r="C115" s="77"/>
      <x:c r="D115" s="77"/>
      <x:c r="E115" s="80"/>
      <x:c r="F115" s="80"/>
      <x:c r="G115" s="80"/>
      <x:c r="H115" s="80" t="str">
        <x:f>IF(A115="","",SUM(E115:G115))</x:f>
      </x:c>
      <x:c r="I115" s="80"/>
      <x:c r="J115" s="77"/>
      <x:c r="K115" s="80" t="str">
        <x:f>IF(A115="","",J115*Config!$B$8)</x:f>
      </x:c>
      <x:c r="L115" s="80" t="str">
        <x:f>IF(A115="","",H115-I115-K115)</x:f>
      </x:c>
      <x:c r="M115" s="77"/>
      <x:c r="N115" s="77"/>
      <x:c r="O115" s="77"/>
      <x:c r="P115" s="77"/>
    </x:row>
    <x:row r="116">
      <x:c r="A116" s="83"/>
      <x:c r="B116" s="77"/>
      <x:c r="C116" s="77"/>
      <x:c r="D116" s="77"/>
      <x:c r="E116" s="80"/>
      <x:c r="F116" s="80"/>
      <x:c r="G116" s="80"/>
      <x:c r="H116" s="80" t="str">
        <x:f>IF(A116="","",SUM(E116:G116))</x:f>
      </x:c>
      <x:c r="I116" s="80"/>
      <x:c r="J116" s="77"/>
      <x:c r="K116" s="80" t="str">
        <x:f>IF(A116="","",J116*Config!$B$8)</x:f>
      </x:c>
      <x:c r="L116" s="80" t="str">
        <x:f>IF(A116="","",H116-I116-K116)</x:f>
      </x:c>
      <x:c r="M116" s="77"/>
      <x:c r="N116" s="77"/>
      <x:c r="O116" s="77"/>
      <x:c r="P116" s="77"/>
    </x:row>
    <x:row r="117">
      <x:c r="A117" s="83"/>
      <x:c r="B117" s="77"/>
      <x:c r="C117" s="77"/>
      <x:c r="D117" s="77"/>
      <x:c r="E117" s="80"/>
      <x:c r="F117" s="80"/>
      <x:c r="G117" s="80"/>
      <x:c r="H117" s="80" t="str">
        <x:f>IF(A117="","",SUM(E117:G117))</x:f>
      </x:c>
      <x:c r="I117" s="80"/>
      <x:c r="J117" s="77"/>
      <x:c r="K117" s="80" t="str">
        <x:f>IF(A117="","",J117*Config!$B$8)</x:f>
      </x:c>
      <x:c r="L117" s="80" t="str">
        <x:f>IF(A117="","",H117-I117-K117)</x:f>
      </x:c>
      <x:c r="M117" s="77"/>
      <x:c r="N117" s="77"/>
      <x:c r="O117" s="77"/>
      <x:c r="P117" s="77"/>
    </x:row>
    <x:row r="118">
      <x:c r="A118" s="83"/>
      <x:c r="B118" s="77"/>
      <x:c r="C118" s="77"/>
      <x:c r="D118" s="77"/>
      <x:c r="E118" s="80"/>
      <x:c r="F118" s="80"/>
      <x:c r="G118" s="80"/>
      <x:c r="H118" s="80" t="str">
        <x:f>IF(A118="","",SUM(E118:G118))</x:f>
      </x:c>
      <x:c r="I118" s="80"/>
      <x:c r="J118" s="77"/>
      <x:c r="K118" s="80" t="str">
        <x:f>IF(A118="","",J118*Config!$B$8)</x:f>
      </x:c>
      <x:c r="L118" s="80" t="str">
        <x:f>IF(A118="","",H118-I118-K118)</x:f>
      </x:c>
      <x:c r="M118" s="77"/>
      <x:c r="N118" s="77"/>
      <x:c r="O118" s="77"/>
      <x:c r="P118" s="77"/>
    </x:row>
    <x:row r="119">
      <x:c r="A119" s="83"/>
      <x:c r="B119" s="77"/>
      <x:c r="C119" s="77"/>
      <x:c r="D119" s="77"/>
      <x:c r="E119" s="80"/>
      <x:c r="F119" s="80"/>
      <x:c r="G119" s="80"/>
      <x:c r="H119" s="80" t="str">
        <x:f>IF(A119="","",SUM(E119:G119))</x:f>
      </x:c>
      <x:c r="I119" s="80"/>
      <x:c r="J119" s="77"/>
      <x:c r="K119" s="80" t="str">
        <x:f>IF(A119="","",J119*Config!$B$8)</x:f>
      </x:c>
      <x:c r="L119" s="80" t="str">
        <x:f>IF(A119="","",H119-I119-K119)</x:f>
      </x:c>
      <x:c r="M119" s="77"/>
      <x:c r="N119" s="77"/>
      <x:c r="O119" s="77"/>
      <x:c r="P119" s="77"/>
    </x:row>
    <x:row r="120">
      <x:c r="A120" s="83"/>
      <x:c r="B120" s="77"/>
      <x:c r="C120" s="77"/>
      <x:c r="D120" s="77"/>
      <x:c r="E120" s="80"/>
      <x:c r="F120" s="80"/>
      <x:c r="G120" s="80"/>
      <x:c r="H120" s="80" t="str">
        <x:f>IF(A120="","",SUM(E120:G120))</x:f>
      </x:c>
      <x:c r="I120" s="80"/>
      <x:c r="J120" s="77"/>
      <x:c r="K120" s="80" t="str">
        <x:f>IF(A120="","",J120*Config!$B$8)</x:f>
      </x:c>
      <x:c r="L120" s="80" t="str">
        <x:f>IF(A120="","",H120-I120-K120)</x:f>
      </x:c>
      <x:c r="M120" s="77"/>
      <x:c r="N120" s="77"/>
      <x:c r="O120" s="77"/>
      <x:c r="P120" s="77"/>
    </x:row>
    <x:row r="121">
      <x:c r="A121" s="83"/>
      <x:c r="B121" s="77"/>
      <x:c r="C121" s="77"/>
      <x:c r="D121" s="77"/>
      <x:c r="E121" s="80"/>
      <x:c r="F121" s="80"/>
      <x:c r="G121" s="80"/>
      <x:c r="H121" s="80" t="str">
        <x:f>IF(A121="","",SUM(E121:G121))</x:f>
      </x:c>
      <x:c r="I121" s="80"/>
      <x:c r="J121" s="77"/>
      <x:c r="K121" s="80" t="str">
        <x:f>IF(A121="","",J121*Config!$B$8)</x:f>
      </x:c>
      <x:c r="L121" s="80" t="str">
        <x:f>IF(A121="","",H121-I121-K121)</x:f>
      </x:c>
      <x:c r="M121" s="77"/>
      <x:c r="N121" s="77"/>
      <x:c r="O121" s="77"/>
      <x:c r="P121" s="77"/>
    </x:row>
    <x:row r="122">
      <x:c r="A122" s="83"/>
      <x:c r="B122" s="77"/>
      <x:c r="C122" s="77"/>
      <x:c r="D122" s="77"/>
      <x:c r="E122" s="80"/>
      <x:c r="F122" s="80"/>
      <x:c r="G122" s="80"/>
      <x:c r="H122" s="80" t="str">
        <x:f>IF(A122="","",SUM(E122:G122))</x:f>
      </x:c>
      <x:c r="I122" s="80"/>
      <x:c r="J122" s="77"/>
      <x:c r="K122" s="80" t="str">
        <x:f>IF(A122="","",J122*Config!$B$8)</x:f>
      </x:c>
      <x:c r="L122" s="80" t="str">
        <x:f>IF(A122="","",H122-I122-K122)</x:f>
      </x:c>
      <x:c r="M122" s="77"/>
      <x:c r="N122" s="77"/>
      <x:c r="O122" s="77"/>
      <x:c r="P122" s="77"/>
    </x:row>
    <x:row r="123">
      <x:c r="A123" s="83"/>
      <x:c r="B123" s="77"/>
      <x:c r="C123" s="77"/>
      <x:c r="D123" s="77"/>
      <x:c r="E123" s="80"/>
      <x:c r="F123" s="80"/>
      <x:c r="G123" s="80"/>
      <x:c r="H123" s="80" t="str">
        <x:f>IF(A123="","",SUM(E123:G123))</x:f>
      </x:c>
      <x:c r="I123" s="80"/>
      <x:c r="J123" s="77"/>
      <x:c r="K123" s="80" t="str">
        <x:f>IF(A123="","",J123*Config!$B$8)</x:f>
      </x:c>
      <x:c r="L123" s="80" t="str">
        <x:f>IF(A123="","",H123-I123-K123)</x:f>
      </x:c>
      <x:c r="M123" s="77"/>
      <x:c r="N123" s="77"/>
      <x:c r="O123" s="77"/>
      <x:c r="P123" s="77"/>
    </x:row>
    <x:row r="124">
      <x:c r="A124" s="83"/>
      <x:c r="B124" s="77"/>
      <x:c r="C124" s="77"/>
      <x:c r="D124" s="77"/>
      <x:c r="E124" s="80"/>
      <x:c r="F124" s="80"/>
      <x:c r="G124" s="80"/>
      <x:c r="H124" s="80" t="str">
        <x:f>IF(A124="","",SUM(E124:G124))</x:f>
      </x:c>
      <x:c r="I124" s="80"/>
      <x:c r="J124" s="77"/>
      <x:c r="K124" s="80" t="str">
        <x:f>IF(A124="","",J124*Config!$B$8)</x:f>
      </x:c>
      <x:c r="L124" s="80" t="str">
        <x:f>IF(A124="","",H124-I124-K124)</x:f>
      </x:c>
      <x:c r="M124" s="77"/>
      <x:c r="N124" s="77"/>
      <x:c r="O124" s="77"/>
      <x:c r="P124" s="77"/>
    </x:row>
    <x:row r="125">
      <x:c r="A125" s="83"/>
      <x:c r="B125" s="77"/>
      <x:c r="C125" s="77"/>
      <x:c r="D125" s="77"/>
      <x:c r="E125" s="80"/>
      <x:c r="F125" s="80"/>
      <x:c r="G125" s="80"/>
      <x:c r="H125" s="80" t="str">
        <x:f>IF(A125="","",SUM(E125:G125))</x:f>
      </x:c>
      <x:c r="I125" s="80"/>
      <x:c r="J125" s="77"/>
      <x:c r="K125" s="80" t="str">
        <x:f>IF(A125="","",J125*Config!$B$8)</x:f>
      </x:c>
      <x:c r="L125" s="80" t="str">
        <x:f>IF(A125="","",H125-I125-K125)</x:f>
      </x:c>
      <x:c r="M125" s="77"/>
      <x:c r="N125" s="77"/>
      <x:c r="O125" s="77"/>
      <x:c r="P125" s="77"/>
    </x:row>
    <x:row r="126">
      <x:c r="A126" s="83"/>
      <x:c r="B126" s="77"/>
      <x:c r="C126" s="77"/>
      <x:c r="D126" s="77"/>
      <x:c r="E126" s="80"/>
      <x:c r="F126" s="80"/>
      <x:c r="G126" s="80"/>
      <x:c r="H126" s="80" t="str">
        <x:f>IF(A126="","",SUM(E126:G126))</x:f>
      </x:c>
      <x:c r="I126" s="80"/>
      <x:c r="J126" s="77"/>
      <x:c r="K126" s="80" t="str">
        <x:f>IF(A126="","",J126*Config!$B$8)</x:f>
      </x:c>
      <x:c r="L126" s="80" t="str">
        <x:f>IF(A126="","",H126-I126-K126)</x:f>
      </x:c>
      <x:c r="M126" s="77"/>
      <x:c r="N126" s="77"/>
      <x:c r="O126" s="77"/>
      <x:c r="P126" s="77"/>
    </x:row>
    <x:row r="127">
      <x:c r="A127" s="83"/>
      <x:c r="B127" s="77"/>
      <x:c r="C127" s="77"/>
      <x:c r="D127" s="77"/>
      <x:c r="E127" s="80"/>
      <x:c r="F127" s="80"/>
      <x:c r="G127" s="80"/>
      <x:c r="H127" s="80" t="str">
        <x:f>IF(A127="","",SUM(E127:G127))</x:f>
      </x:c>
      <x:c r="I127" s="80"/>
      <x:c r="J127" s="77"/>
      <x:c r="K127" s="80" t="str">
        <x:f>IF(A127="","",J127*Config!$B$8)</x:f>
      </x:c>
      <x:c r="L127" s="80" t="str">
        <x:f>IF(A127="","",H127-I127-K127)</x:f>
      </x:c>
      <x:c r="M127" s="77"/>
      <x:c r="N127" s="77"/>
      <x:c r="O127" s="77"/>
      <x:c r="P127" s="77"/>
    </x:row>
    <x:row r="128">
      <x:c r="A128" s="83"/>
      <x:c r="B128" s="77"/>
      <x:c r="C128" s="77"/>
      <x:c r="D128" s="77"/>
      <x:c r="E128" s="80"/>
      <x:c r="F128" s="80"/>
      <x:c r="G128" s="80"/>
      <x:c r="H128" s="80" t="str">
        <x:f>IF(A128="","",SUM(E128:G128))</x:f>
      </x:c>
      <x:c r="I128" s="80"/>
      <x:c r="J128" s="77"/>
      <x:c r="K128" s="80" t="str">
        <x:f>IF(A128="","",J128*Config!$B$8)</x:f>
      </x:c>
      <x:c r="L128" s="80" t="str">
        <x:f>IF(A128="","",H128-I128-K128)</x:f>
      </x:c>
      <x:c r="M128" s="77"/>
      <x:c r="N128" s="77"/>
      <x:c r="O128" s="77"/>
      <x:c r="P128" s="77"/>
    </x:row>
    <x:row r="129">
      <x:c r="A129" s="83"/>
      <x:c r="B129" s="77"/>
      <x:c r="C129" s="77"/>
      <x:c r="D129" s="77"/>
      <x:c r="E129" s="80"/>
      <x:c r="F129" s="80"/>
      <x:c r="G129" s="80"/>
      <x:c r="H129" s="80" t="str">
        <x:f>IF(A129="","",SUM(E129:G129))</x:f>
      </x:c>
      <x:c r="I129" s="80"/>
      <x:c r="J129" s="77"/>
      <x:c r="K129" s="80" t="str">
        <x:f>IF(A129="","",J129*Config!$B$8)</x:f>
      </x:c>
      <x:c r="L129" s="80" t="str">
        <x:f>IF(A129="","",H129-I129-K129)</x:f>
      </x:c>
      <x:c r="M129" s="77"/>
      <x:c r="N129" s="77"/>
      <x:c r="O129" s="77"/>
      <x:c r="P129" s="77"/>
    </x:row>
    <x:row r="130">
      <x:c r="A130" s="83"/>
      <x:c r="B130" s="77"/>
      <x:c r="C130" s="77"/>
      <x:c r="D130" s="77"/>
      <x:c r="E130" s="80"/>
      <x:c r="F130" s="80"/>
      <x:c r="G130" s="80"/>
      <x:c r="H130" s="80" t="str">
        <x:f>IF(A130="","",SUM(E130:G130))</x:f>
      </x:c>
      <x:c r="I130" s="80"/>
      <x:c r="J130" s="77"/>
      <x:c r="K130" s="80" t="str">
        <x:f>IF(A130="","",J130*Config!$B$8)</x:f>
      </x:c>
      <x:c r="L130" s="80" t="str">
        <x:f>IF(A130="","",H130-I130-K130)</x:f>
      </x:c>
      <x:c r="M130" s="77"/>
      <x:c r="N130" s="77"/>
      <x:c r="O130" s="77"/>
      <x:c r="P130" s="77"/>
    </x:row>
    <x:row r="131">
      <x:c r="A131" s="83"/>
      <x:c r="B131" s="77"/>
      <x:c r="C131" s="77"/>
      <x:c r="D131" s="77"/>
      <x:c r="E131" s="80"/>
      <x:c r="F131" s="80"/>
      <x:c r="G131" s="80"/>
      <x:c r="H131" s="80" t="str">
        <x:f>IF(A131="","",SUM(E131:G131))</x:f>
      </x:c>
      <x:c r="I131" s="80"/>
      <x:c r="J131" s="77"/>
      <x:c r="K131" s="80" t="str">
        <x:f>IF(A131="","",J131*Config!$B$8)</x:f>
      </x:c>
      <x:c r="L131" s="80" t="str">
        <x:f>IF(A131="","",H131-I131-K131)</x:f>
      </x:c>
      <x:c r="M131" s="77"/>
      <x:c r="N131" s="77"/>
      <x:c r="O131" s="77"/>
      <x:c r="P131" s="77"/>
    </x:row>
    <x:row r="132">
      <x:c r="A132" s="83"/>
      <x:c r="B132" s="77"/>
      <x:c r="C132" s="77"/>
      <x:c r="D132" s="77"/>
      <x:c r="E132" s="80"/>
      <x:c r="F132" s="80"/>
      <x:c r="G132" s="80"/>
      <x:c r="H132" s="80" t="str">
        <x:f>IF(A132="","",SUM(E132:G132))</x:f>
      </x:c>
      <x:c r="I132" s="80"/>
      <x:c r="J132" s="77"/>
      <x:c r="K132" s="80" t="str">
        <x:f>IF(A132="","",J132*Config!$B$8)</x:f>
      </x:c>
      <x:c r="L132" s="80" t="str">
        <x:f>IF(A132="","",H132-I132-K132)</x:f>
      </x:c>
      <x:c r="M132" s="77"/>
      <x:c r="N132" s="77"/>
      <x:c r="O132" s="77"/>
      <x:c r="P132" s="77"/>
    </x:row>
    <x:row r="133">
      <x:c r="A133" s="83"/>
      <x:c r="B133" s="77"/>
      <x:c r="C133" s="77"/>
      <x:c r="D133" s="77"/>
      <x:c r="E133" s="80"/>
      <x:c r="F133" s="80"/>
      <x:c r="G133" s="80"/>
      <x:c r="H133" s="80" t="str">
        <x:f>IF(A133="","",SUM(E133:G133))</x:f>
      </x:c>
      <x:c r="I133" s="80"/>
      <x:c r="J133" s="77"/>
      <x:c r="K133" s="80" t="str">
        <x:f>IF(A133="","",J133*Config!$B$8)</x:f>
      </x:c>
      <x:c r="L133" s="80" t="str">
        <x:f>IF(A133="","",H133-I133-K133)</x:f>
      </x:c>
      <x:c r="M133" s="77"/>
      <x:c r="N133" s="77"/>
      <x:c r="O133" s="77"/>
      <x:c r="P133" s="77"/>
    </x:row>
    <x:row r="134">
      <x:c r="A134" s="83"/>
      <x:c r="B134" s="77"/>
      <x:c r="C134" s="77"/>
      <x:c r="D134" s="77"/>
      <x:c r="E134" s="80"/>
      <x:c r="F134" s="80"/>
      <x:c r="G134" s="80"/>
      <x:c r="H134" s="80" t="str">
        <x:f>IF(A134="","",SUM(E134:G134))</x:f>
      </x:c>
      <x:c r="I134" s="80"/>
      <x:c r="J134" s="77"/>
      <x:c r="K134" s="80" t="str">
        <x:f>IF(A134="","",J134*Config!$B$8)</x:f>
      </x:c>
      <x:c r="L134" s="80" t="str">
        <x:f>IF(A134="","",H134-I134-K134)</x:f>
      </x:c>
      <x:c r="M134" s="77"/>
      <x:c r="N134" s="77"/>
      <x:c r="O134" s="77"/>
      <x:c r="P134" s="77"/>
    </x:row>
    <x:row r="135">
      <x:c r="A135" s="83"/>
      <x:c r="B135" s="77"/>
      <x:c r="C135" s="77"/>
      <x:c r="D135" s="77"/>
      <x:c r="E135" s="80"/>
      <x:c r="F135" s="80"/>
      <x:c r="G135" s="80"/>
      <x:c r="H135" s="80" t="str">
        <x:f>IF(A135="","",SUM(E135:G135))</x:f>
      </x:c>
      <x:c r="I135" s="80"/>
      <x:c r="J135" s="77"/>
      <x:c r="K135" s="80" t="str">
        <x:f>IF(A135="","",J135*Config!$B$8)</x:f>
      </x:c>
      <x:c r="L135" s="80" t="str">
        <x:f>IF(A135="","",H135-I135-K135)</x:f>
      </x:c>
      <x:c r="M135" s="77"/>
      <x:c r="N135" s="77"/>
      <x:c r="O135" s="77"/>
      <x:c r="P135" s="77"/>
    </x:row>
    <x:row r="136">
      <x:c r="A136" s="83"/>
      <x:c r="B136" s="77"/>
      <x:c r="C136" s="77"/>
      <x:c r="D136" s="77"/>
      <x:c r="E136" s="80"/>
      <x:c r="F136" s="80"/>
      <x:c r="G136" s="80"/>
      <x:c r="H136" s="80" t="str">
        <x:f>IF(A136="","",SUM(E136:G136))</x:f>
      </x:c>
      <x:c r="I136" s="80"/>
      <x:c r="J136" s="77"/>
      <x:c r="K136" s="80" t="str">
        <x:f>IF(A136="","",J136*Config!$B$8)</x:f>
      </x:c>
      <x:c r="L136" s="80" t="str">
        <x:f>IF(A136="","",H136-I136-K136)</x:f>
      </x:c>
      <x:c r="M136" s="77"/>
      <x:c r="N136" s="77"/>
      <x:c r="O136" s="77"/>
      <x:c r="P136" s="77"/>
    </x:row>
    <x:row r="137">
      <x:c r="A137" s="83"/>
      <x:c r="B137" s="77"/>
      <x:c r="C137" s="77"/>
      <x:c r="D137" s="77"/>
      <x:c r="E137" s="80"/>
      <x:c r="F137" s="80"/>
      <x:c r="G137" s="80"/>
      <x:c r="H137" s="80" t="str">
        <x:f>IF(A137="","",SUM(E137:G137))</x:f>
      </x:c>
      <x:c r="I137" s="80"/>
      <x:c r="J137" s="77"/>
      <x:c r="K137" s="80" t="str">
        <x:f>IF(A137="","",J137*Config!$B$8)</x:f>
      </x:c>
      <x:c r="L137" s="80" t="str">
        <x:f>IF(A137="","",H137-I137-K137)</x:f>
      </x:c>
      <x:c r="M137" s="77"/>
      <x:c r="N137" s="77"/>
      <x:c r="O137" s="77"/>
      <x:c r="P137" s="77"/>
    </x:row>
    <x:row r="138">
      <x:c r="A138" s="83"/>
      <x:c r="B138" s="77"/>
      <x:c r="C138" s="77"/>
      <x:c r="D138" s="77"/>
      <x:c r="E138" s="80"/>
      <x:c r="F138" s="80"/>
      <x:c r="G138" s="80"/>
      <x:c r="H138" s="80" t="str">
        <x:f>IF(A138="","",SUM(E138:G138))</x:f>
      </x:c>
      <x:c r="I138" s="80"/>
      <x:c r="J138" s="77"/>
      <x:c r="K138" s="80" t="str">
        <x:f>IF(A138="","",J138*Config!$B$8)</x:f>
      </x:c>
      <x:c r="L138" s="80" t="str">
        <x:f>IF(A138="","",H138-I138-K138)</x:f>
      </x:c>
      <x:c r="M138" s="77"/>
      <x:c r="N138" s="77"/>
      <x:c r="O138" s="77"/>
      <x:c r="P138" s="77"/>
    </x:row>
    <x:row r="139">
      <x:c r="A139" s="83"/>
      <x:c r="B139" s="77"/>
      <x:c r="C139" s="77"/>
      <x:c r="D139" s="77"/>
      <x:c r="E139" s="80"/>
      <x:c r="F139" s="80"/>
      <x:c r="G139" s="80"/>
      <x:c r="H139" s="80" t="str">
        <x:f>IF(A139="","",SUM(E139:G139))</x:f>
      </x:c>
      <x:c r="I139" s="80"/>
      <x:c r="J139" s="77"/>
      <x:c r="K139" s="80" t="str">
        <x:f>IF(A139="","",J139*Config!$B$8)</x:f>
      </x:c>
      <x:c r="L139" s="80" t="str">
        <x:f>IF(A139="","",H139-I139-K139)</x:f>
      </x:c>
      <x:c r="M139" s="77"/>
      <x:c r="N139" s="77"/>
      <x:c r="O139" s="77"/>
      <x:c r="P139" s="77"/>
    </x:row>
    <x:row r="140">
      <x:c r="A140" s="83"/>
      <x:c r="B140" s="77"/>
      <x:c r="C140" s="77"/>
      <x:c r="D140" s="77"/>
      <x:c r="E140" s="80"/>
      <x:c r="F140" s="80"/>
      <x:c r="G140" s="80"/>
      <x:c r="H140" s="80" t="str">
        <x:f>IF(A140="","",SUM(E140:G140))</x:f>
      </x:c>
      <x:c r="I140" s="80"/>
      <x:c r="J140" s="77"/>
      <x:c r="K140" s="80" t="str">
        <x:f>IF(A140="","",J140*Config!$B$8)</x:f>
      </x:c>
      <x:c r="L140" s="80" t="str">
        <x:f>IF(A140="","",H140-I140-K140)</x:f>
      </x:c>
      <x:c r="M140" s="77"/>
      <x:c r="N140" s="77"/>
      <x:c r="O140" s="77"/>
      <x:c r="P140" s="77"/>
    </x:row>
    <x:row r="141">
      <x:c r="A141" s="83"/>
      <x:c r="B141" s="77"/>
      <x:c r="C141" s="77"/>
      <x:c r="D141" s="77"/>
      <x:c r="E141" s="80"/>
      <x:c r="F141" s="80"/>
      <x:c r="G141" s="80"/>
      <x:c r="H141" s="80" t="str">
        <x:f>IF(A141="","",SUM(E141:G141))</x:f>
      </x:c>
      <x:c r="I141" s="80"/>
      <x:c r="J141" s="77"/>
      <x:c r="K141" s="80" t="str">
        <x:f>IF(A141="","",J141*Config!$B$8)</x:f>
      </x:c>
      <x:c r="L141" s="80" t="str">
        <x:f>IF(A141="","",H141-I141-K141)</x:f>
      </x:c>
      <x:c r="M141" s="77"/>
      <x:c r="N141" s="77"/>
      <x:c r="O141" s="77"/>
      <x:c r="P141" s="77"/>
    </x:row>
    <x:row r="142">
      <x:c r="A142" s="83"/>
      <x:c r="B142" s="77"/>
      <x:c r="C142" s="77"/>
      <x:c r="D142" s="77"/>
      <x:c r="E142" s="80"/>
      <x:c r="F142" s="80"/>
      <x:c r="G142" s="80"/>
      <x:c r="H142" s="80" t="str">
        <x:f>IF(A142="","",SUM(E142:G142))</x:f>
      </x:c>
      <x:c r="I142" s="80"/>
      <x:c r="J142" s="77"/>
      <x:c r="K142" s="80" t="str">
        <x:f>IF(A142="","",J142*Config!$B$8)</x:f>
      </x:c>
      <x:c r="L142" s="80" t="str">
        <x:f>IF(A142="","",H142-I142-K142)</x:f>
      </x:c>
      <x:c r="M142" s="77"/>
      <x:c r="N142" s="77"/>
      <x:c r="O142" s="77"/>
      <x:c r="P142" s="77"/>
    </x:row>
    <x:row r="143">
      <x:c r="A143" s="83"/>
      <x:c r="B143" s="77"/>
      <x:c r="C143" s="77"/>
      <x:c r="D143" s="77"/>
      <x:c r="E143" s="80"/>
      <x:c r="F143" s="80"/>
      <x:c r="G143" s="80"/>
      <x:c r="H143" s="80" t="str">
        <x:f>IF(A143="","",SUM(E143:G143))</x:f>
      </x:c>
      <x:c r="I143" s="80"/>
      <x:c r="J143" s="77"/>
      <x:c r="K143" s="80" t="str">
        <x:f>IF(A143="","",J143*Config!$B$8)</x:f>
      </x:c>
      <x:c r="L143" s="80" t="str">
        <x:f>IF(A143="","",H143-I143-K143)</x:f>
      </x:c>
      <x:c r="M143" s="77"/>
      <x:c r="N143" s="77"/>
      <x:c r="O143" s="77"/>
      <x:c r="P143" s="77"/>
    </x:row>
    <x:row r="144">
      <x:c r="A144" s="83"/>
      <x:c r="B144" s="77"/>
      <x:c r="C144" s="77"/>
      <x:c r="D144" s="77"/>
      <x:c r="E144" s="80"/>
      <x:c r="F144" s="80"/>
      <x:c r="G144" s="80"/>
      <x:c r="H144" s="80" t="str">
        <x:f>IF(A144="","",SUM(E144:G144))</x:f>
      </x:c>
      <x:c r="I144" s="80"/>
      <x:c r="J144" s="77"/>
      <x:c r="K144" s="80" t="str">
        <x:f>IF(A144="","",J144*Config!$B$8)</x:f>
      </x:c>
      <x:c r="L144" s="80" t="str">
        <x:f>IF(A144="","",H144-I144-K144)</x:f>
      </x:c>
      <x:c r="M144" s="77"/>
      <x:c r="N144" s="77"/>
      <x:c r="O144" s="77"/>
      <x:c r="P144" s="77"/>
    </x:row>
    <x:row r="145">
      <x:c r="A145" s="83"/>
      <x:c r="B145" s="77"/>
      <x:c r="C145" s="77"/>
      <x:c r="D145" s="77"/>
      <x:c r="E145" s="80"/>
      <x:c r="F145" s="80"/>
      <x:c r="G145" s="80"/>
      <x:c r="H145" s="80" t="str">
        <x:f>IF(A145="","",SUM(E145:G145))</x:f>
      </x:c>
      <x:c r="I145" s="80"/>
      <x:c r="J145" s="77"/>
      <x:c r="K145" s="80" t="str">
        <x:f>IF(A145="","",J145*Config!$B$8)</x:f>
      </x:c>
      <x:c r="L145" s="80" t="str">
        <x:f>IF(A145="","",H145-I145-K145)</x:f>
      </x:c>
      <x:c r="M145" s="77"/>
      <x:c r="N145" s="77"/>
      <x:c r="O145" s="77"/>
      <x:c r="P145" s="77"/>
    </x:row>
    <x:row r="146">
      <x:c r="A146" s="83"/>
      <x:c r="B146" s="77"/>
      <x:c r="C146" s="77"/>
      <x:c r="D146" s="77"/>
      <x:c r="E146" s="80"/>
      <x:c r="F146" s="80"/>
      <x:c r="G146" s="80"/>
      <x:c r="H146" s="80" t="str">
        <x:f>IF(A146="","",SUM(E146:G146))</x:f>
      </x:c>
      <x:c r="I146" s="80"/>
      <x:c r="J146" s="77"/>
      <x:c r="K146" s="80" t="str">
        <x:f>IF(A146="","",J146*Config!$B$8)</x:f>
      </x:c>
      <x:c r="L146" s="80" t="str">
        <x:f>IF(A146="","",H146-I146-K146)</x:f>
      </x:c>
      <x:c r="M146" s="77"/>
      <x:c r="N146" s="77"/>
      <x:c r="O146" s="77"/>
      <x:c r="P146" s="77"/>
    </x:row>
    <x:row r="147">
      <x:c r="A147" s="83"/>
      <x:c r="B147" s="77"/>
      <x:c r="C147" s="77"/>
      <x:c r="D147" s="77"/>
      <x:c r="E147" s="80"/>
      <x:c r="F147" s="80"/>
      <x:c r="G147" s="80"/>
      <x:c r="H147" s="80" t="str">
        <x:f>IF(A147="","",SUM(E147:G147))</x:f>
      </x:c>
      <x:c r="I147" s="80"/>
      <x:c r="J147" s="77"/>
      <x:c r="K147" s="80" t="str">
        <x:f>IF(A147="","",J147*Config!$B$8)</x:f>
      </x:c>
      <x:c r="L147" s="80" t="str">
        <x:f>IF(A147="","",H147-I147-K147)</x:f>
      </x:c>
      <x:c r="M147" s="77"/>
      <x:c r="N147" s="77"/>
      <x:c r="O147" s="77"/>
      <x:c r="P147" s="77"/>
    </x:row>
    <x:row r="148">
      <x:c r="A148" s="83"/>
      <x:c r="B148" s="77"/>
      <x:c r="C148" s="77"/>
      <x:c r="D148" s="77"/>
      <x:c r="E148" s="80"/>
      <x:c r="F148" s="80"/>
      <x:c r="G148" s="80"/>
      <x:c r="H148" s="80" t="str">
        <x:f>IF(A148="","",SUM(E148:G148))</x:f>
      </x:c>
      <x:c r="I148" s="80"/>
      <x:c r="J148" s="77"/>
      <x:c r="K148" s="80" t="str">
        <x:f>IF(A148="","",J148*Config!$B$8)</x:f>
      </x:c>
      <x:c r="L148" s="80" t="str">
        <x:f>IF(A148="","",H148-I148-K148)</x:f>
      </x:c>
      <x:c r="M148" s="77"/>
      <x:c r="N148" s="77"/>
      <x:c r="O148" s="77"/>
      <x:c r="P148" s="77"/>
    </x:row>
    <x:row r="149">
      <x:c r="A149" s="83"/>
      <x:c r="B149" s="77"/>
      <x:c r="C149" s="77"/>
      <x:c r="D149" s="77"/>
      <x:c r="E149" s="80"/>
      <x:c r="F149" s="80"/>
      <x:c r="G149" s="80"/>
      <x:c r="H149" s="80" t="str">
        <x:f>IF(A149="","",SUM(E149:G149))</x:f>
      </x:c>
      <x:c r="I149" s="80"/>
      <x:c r="J149" s="77"/>
      <x:c r="K149" s="80" t="str">
        <x:f>IF(A149="","",J149*Config!$B$8)</x:f>
      </x:c>
      <x:c r="L149" s="80" t="str">
        <x:f>IF(A149="","",H149-I149-K149)</x:f>
      </x:c>
      <x:c r="M149" s="77"/>
      <x:c r="N149" s="77"/>
      <x:c r="O149" s="77"/>
      <x:c r="P149" s="77"/>
    </x:row>
    <x:row r="150">
      <x:c r="A150" s="83"/>
      <x:c r="B150" s="77"/>
      <x:c r="C150" s="77"/>
      <x:c r="D150" s="77"/>
      <x:c r="E150" s="80"/>
      <x:c r="F150" s="80"/>
      <x:c r="G150" s="80"/>
      <x:c r="H150" s="80" t="str">
        <x:f>IF(A150="","",SUM(E150:G150))</x:f>
      </x:c>
      <x:c r="I150" s="80"/>
      <x:c r="J150" s="77"/>
      <x:c r="K150" s="80" t="str">
        <x:f>IF(A150="","",J150*Config!$B$8)</x:f>
      </x:c>
      <x:c r="L150" s="80" t="str">
        <x:f>IF(A150="","",H150-I150-K150)</x:f>
      </x:c>
      <x:c r="M150" s="77"/>
      <x:c r="N150" s="77"/>
      <x:c r="O150" s="77"/>
      <x:c r="P150" s="77"/>
    </x:row>
    <x:row r="151">
      <x:c r="A151" s="83"/>
      <x:c r="B151" s="77"/>
      <x:c r="C151" s="77"/>
      <x:c r="D151" s="77"/>
      <x:c r="E151" s="80"/>
      <x:c r="F151" s="80"/>
      <x:c r="G151" s="80"/>
      <x:c r="H151" s="80" t="str">
        <x:f>IF(A151="","",SUM(E151:G151))</x:f>
      </x:c>
      <x:c r="I151" s="80"/>
      <x:c r="J151" s="77"/>
      <x:c r="K151" s="80" t="str">
        <x:f>IF(A151="","",J151*Config!$B$8)</x:f>
      </x:c>
      <x:c r="L151" s="80" t="str">
        <x:f>IF(A151="","",H151-I151-K151)</x:f>
      </x:c>
      <x:c r="M151" s="77"/>
      <x:c r="N151" s="77"/>
      <x:c r="O151" s="77"/>
      <x:c r="P151" s="77"/>
    </x:row>
    <x:row r="152">
      <x:c r="A152" s="83"/>
      <x:c r="B152" s="77"/>
      <x:c r="C152" s="77"/>
      <x:c r="D152" s="77"/>
      <x:c r="E152" s="80"/>
      <x:c r="F152" s="80"/>
      <x:c r="G152" s="80"/>
      <x:c r="H152" s="80" t="str">
        <x:f>IF(A152="","",SUM(E152:G152))</x:f>
      </x:c>
      <x:c r="I152" s="80"/>
      <x:c r="J152" s="77"/>
      <x:c r="K152" s="80" t="str">
        <x:f>IF(A152="","",J152*Config!$B$8)</x:f>
      </x:c>
      <x:c r="L152" s="80" t="str">
        <x:f>IF(A152="","",H152-I152-K152)</x:f>
      </x:c>
      <x:c r="M152" s="77"/>
      <x:c r="N152" s="77"/>
      <x:c r="O152" s="77"/>
      <x:c r="P152" s="77"/>
    </x:row>
    <x:row r="153">
      <x:c r="A153" s="83"/>
      <x:c r="B153" s="77"/>
      <x:c r="C153" s="77"/>
      <x:c r="D153" s="77"/>
      <x:c r="E153" s="80"/>
      <x:c r="F153" s="80"/>
      <x:c r="G153" s="80"/>
      <x:c r="H153" s="80" t="str">
        <x:f>IF(A153="","",SUM(E153:G153))</x:f>
      </x:c>
      <x:c r="I153" s="80"/>
      <x:c r="J153" s="77"/>
      <x:c r="K153" s="80" t="str">
        <x:f>IF(A153="","",J153*Config!$B$8)</x:f>
      </x:c>
      <x:c r="L153" s="80" t="str">
        <x:f>IF(A153="","",H153-I153-K153)</x:f>
      </x:c>
      <x:c r="M153" s="77"/>
      <x:c r="N153" s="77"/>
      <x:c r="O153" s="77"/>
      <x:c r="P153" s="77"/>
    </x:row>
    <x:row r="154">
      <x:c r="A154" s="83"/>
      <x:c r="B154" s="77"/>
      <x:c r="C154" s="77"/>
      <x:c r="D154" s="77"/>
      <x:c r="E154" s="80"/>
      <x:c r="F154" s="80"/>
      <x:c r="G154" s="80"/>
      <x:c r="H154" s="80" t="str">
        <x:f>IF(A154="","",SUM(E154:G154))</x:f>
      </x:c>
      <x:c r="I154" s="80"/>
      <x:c r="J154" s="77"/>
      <x:c r="K154" s="80" t="str">
        <x:f>IF(A154="","",J154*Config!$B$8)</x:f>
      </x:c>
      <x:c r="L154" s="80" t="str">
        <x:f>IF(A154="","",H154-I154-K154)</x:f>
      </x:c>
      <x:c r="M154" s="77"/>
      <x:c r="N154" s="77"/>
      <x:c r="O154" s="77"/>
      <x:c r="P154" s="77"/>
    </x:row>
    <x:row r="155">
      <x:c r="A155" s="83"/>
      <x:c r="B155" s="77"/>
      <x:c r="C155" s="77"/>
      <x:c r="D155" s="77"/>
      <x:c r="E155" s="80"/>
      <x:c r="F155" s="80"/>
      <x:c r="G155" s="80"/>
      <x:c r="H155" s="80" t="str">
        <x:f>IF(A155="","",SUM(E155:G155))</x:f>
      </x:c>
      <x:c r="I155" s="80"/>
      <x:c r="J155" s="77"/>
      <x:c r="K155" s="80" t="str">
        <x:f>IF(A155="","",J155*Config!$B$8)</x:f>
      </x:c>
      <x:c r="L155" s="80" t="str">
        <x:f>IF(A155="","",H155-I155-K155)</x:f>
      </x:c>
      <x:c r="M155" s="77"/>
      <x:c r="N155" s="77"/>
      <x:c r="O155" s="77"/>
      <x:c r="P155" s="77"/>
    </x:row>
    <x:row r="156">
      <x:c r="A156" s="83"/>
      <x:c r="B156" s="77"/>
      <x:c r="C156" s="77"/>
      <x:c r="D156" s="77"/>
      <x:c r="E156" s="80"/>
      <x:c r="F156" s="80"/>
      <x:c r="G156" s="80"/>
      <x:c r="H156" s="80" t="str">
        <x:f>IF(A156="","",SUM(E156:G156))</x:f>
      </x:c>
      <x:c r="I156" s="80"/>
      <x:c r="J156" s="77"/>
      <x:c r="K156" s="80" t="str">
        <x:f>IF(A156="","",J156*Config!$B$8)</x:f>
      </x:c>
      <x:c r="L156" s="80" t="str">
        <x:f>IF(A156="","",H156-I156-K156)</x:f>
      </x:c>
      <x:c r="M156" s="77"/>
      <x:c r="N156" s="77"/>
      <x:c r="O156" s="77"/>
      <x:c r="P156" s="77"/>
    </x:row>
    <x:row r="157">
      <x:c r="A157" s="83"/>
      <x:c r="B157" s="77"/>
      <x:c r="C157" s="77"/>
      <x:c r="D157" s="77"/>
      <x:c r="E157" s="80"/>
      <x:c r="F157" s="80"/>
      <x:c r="G157" s="80"/>
      <x:c r="H157" s="80" t="str">
        <x:f>IF(A157="","",SUM(E157:G157))</x:f>
      </x:c>
      <x:c r="I157" s="80"/>
      <x:c r="J157" s="77"/>
      <x:c r="K157" s="80" t="str">
        <x:f>IF(A157="","",J157*Config!$B$8)</x:f>
      </x:c>
      <x:c r="L157" s="80" t="str">
        <x:f>IF(A157="","",H157-I157-K157)</x:f>
      </x:c>
      <x:c r="M157" s="77"/>
      <x:c r="N157" s="77"/>
      <x:c r="O157" s="77"/>
      <x:c r="P157" s="77"/>
    </x:row>
    <x:row r="158">
      <x:c r="A158" s="83"/>
      <x:c r="B158" s="77"/>
      <x:c r="C158" s="77"/>
      <x:c r="D158" s="77"/>
      <x:c r="E158" s="80"/>
      <x:c r="F158" s="80"/>
      <x:c r="G158" s="80"/>
      <x:c r="H158" s="80" t="str">
        <x:f>IF(A158="","",SUM(E158:G158))</x:f>
      </x:c>
      <x:c r="I158" s="80"/>
      <x:c r="J158" s="77"/>
      <x:c r="K158" s="80" t="str">
        <x:f>IF(A158="","",J158*Config!$B$8)</x:f>
      </x:c>
      <x:c r="L158" s="80" t="str">
        <x:f>IF(A158="","",H158-I158-K158)</x:f>
      </x:c>
      <x:c r="M158" s="77"/>
      <x:c r="N158" s="77"/>
      <x:c r="O158" s="77"/>
      <x:c r="P158" s="77"/>
    </x:row>
    <x:row r="159">
      <x:c r="A159" s="83"/>
      <x:c r="B159" s="77"/>
      <x:c r="C159" s="77"/>
      <x:c r="D159" s="77"/>
      <x:c r="E159" s="80"/>
      <x:c r="F159" s="80"/>
      <x:c r="G159" s="80"/>
      <x:c r="H159" s="80" t="str">
        <x:f>IF(A159="","",SUM(E159:G159))</x:f>
      </x:c>
      <x:c r="I159" s="80"/>
      <x:c r="J159" s="77"/>
      <x:c r="K159" s="80" t="str">
        <x:f>IF(A159="","",J159*Config!$B$8)</x:f>
      </x:c>
      <x:c r="L159" s="80" t="str">
        <x:f>IF(A159="","",H159-I159-K159)</x:f>
      </x:c>
      <x:c r="M159" s="77"/>
      <x:c r="N159" s="77"/>
      <x:c r="O159" s="77"/>
      <x:c r="P159" s="77"/>
    </x:row>
    <x:row r="160">
      <x:c r="A160" s="83"/>
      <x:c r="B160" s="77"/>
      <x:c r="C160" s="77"/>
      <x:c r="D160" s="77"/>
      <x:c r="E160" s="80"/>
      <x:c r="F160" s="80"/>
      <x:c r="G160" s="80"/>
      <x:c r="H160" s="80" t="str">
        <x:f>IF(A160="","",SUM(E160:G160))</x:f>
      </x:c>
      <x:c r="I160" s="80"/>
      <x:c r="J160" s="77"/>
      <x:c r="K160" s="80" t="str">
        <x:f>IF(A160="","",J160*Config!$B$8)</x:f>
      </x:c>
      <x:c r="L160" s="80" t="str">
        <x:f>IF(A160="","",H160-I160-K160)</x:f>
      </x:c>
      <x:c r="M160" s="77"/>
      <x:c r="N160" s="77"/>
      <x:c r="O160" s="77"/>
      <x:c r="P160" s="77"/>
    </x:row>
    <x:row r="161">
      <x:c r="A161" s="83"/>
      <x:c r="B161" s="77"/>
      <x:c r="C161" s="77"/>
      <x:c r="D161" s="77"/>
      <x:c r="E161" s="80"/>
      <x:c r="F161" s="80"/>
      <x:c r="G161" s="80"/>
      <x:c r="H161" s="80" t="str">
        <x:f>IF(A161="","",SUM(E161:G161))</x:f>
      </x:c>
      <x:c r="I161" s="80"/>
      <x:c r="J161" s="77"/>
      <x:c r="K161" s="80" t="str">
        <x:f>IF(A161="","",J161*Config!$B$8)</x:f>
      </x:c>
      <x:c r="L161" s="80" t="str">
        <x:f>IF(A161="","",H161-I161-K161)</x:f>
      </x:c>
      <x:c r="M161" s="77"/>
      <x:c r="N161" s="77"/>
      <x:c r="O161" s="77"/>
      <x:c r="P161" s="77"/>
    </x:row>
    <x:row r="162">
      <x:c r="A162" s="83"/>
      <x:c r="B162" s="77"/>
      <x:c r="C162" s="77"/>
      <x:c r="D162" s="77"/>
      <x:c r="E162" s="80"/>
      <x:c r="F162" s="80"/>
      <x:c r="G162" s="80"/>
      <x:c r="H162" s="80" t="str">
        <x:f>IF(A162="","",SUM(E162:G162))</x:f>
      </x:c>
      <x:c r="I162" s="80"/>
      <x:c r="J162" s="77"/>
      <x:c r="K162" s="80" t="str">
        <x:f>IF(A162="","",J162*Config!$B$8)</x:f>
      </x:c>
      <x:c r="L162" s="80" t="str">
        <x:f>IF(A162="","",H162-I162-K162)</x:f>
      </x:c>
      <x:c r="M162" s="77"/>
      <x:c r="N162" s="77"/>
      <x:c r="O162" s="77"/>
      <x:c r="P162" s="77"/>
    </x:row>
    <x:row r="163">
      <x:c r="A163" s="83"/>
      <x:c r="B163" s="77"/>
      <x:c r="C163" s="77"/>
      <x:c r="D163" s="77"/>
      <x:c r="E163" s="80"/>
      <x:c r="F163" s="80"/>
      <x:c r="G163" s="80"/>
      <x:c r="H163" s="80" t="str">
        <x:f>IF(A163="","",SUM(E163:G163))</x:f>
      </x:c>
      <x:c r="I163" s="80"/>
      <x:c r="J163" s="77"/>
      <x:c r="K163" s="80" t="str">
        <x:f>IF(A163="","",J163*Config!$B$8)</x:f>
      </x:c>
      <x:c r="L163" s="80" t="str">
        <x:f>IF(A163="","",H163-I163-K163)</x:f>
      </x:c>
      <x:c r="M163" s="77"/>
      <x:c r="N163" s="77"/>
      <x:c r="O163" s="77"/>
      <x:c r="P163" s="77"/>
    </x:row>
    <x:row r="164">
      <x:c r="A164" s="83"/>
      <x:c r="B164" s="77"/>
      <x:c r="C164" s="77"/>
      <x:c r="D164" s="77"/>
      <x:c r="E164" s="80"/>
      <x:c r="F164" s="80"/>
      <x:c r="G164" s="80"/>
      <x:c r="H164" s="80" t="str">
        <x:f>IF(A164="","",SUM(E164:G164))</x:f>
      </x:c>
      <x:c r="I164" s="80"/>
      <x:c r="J164" s="77"/>
      <x:c r="K164" s="80" t="str">
        <x:f>IF(A164="","",J164*Config!$B$8)</x:f>
      </x:c>
      <x:c r="L164" s="80" t="str">
        <x:f>IF(A164="","",H164-I164-K164)</x:f>
      </x:c>
      <x:c r="M164" s="77"/>
      <x:c r="N164" s="77"/>
      <x:c r="O164" s="77"/>
      <x:c r="P164" s="77"/>
    </x:row>
    <x:row r="165">
      <x:c r="A165" s="83"/>
      <x:c r="B165" s="77"/>
      <x:c r="C165" s="77"/>
      <x:c r="D165" s="77"/>
      <x:c r="E165" s="80"/>
      <x:c r="F165" s="80"/>
      <x:c r="G165" s="80"/>
      <x:c r="H165" s="80" t="str">
        <x:f>IF(A165="","",SUM(E165:G165))</x:f>
      </x:c>
      <x:c r="I165" s="80"/>
      <x:c r="J165" s="77"/>
      <x:c r="K165" s="80" t="str">
        <x:f>IF(A165="","",J165*Config!$B$8)</x:f>
      </x:c>
      <x:c r="L165" s="80" t="str">
        <x:f>IF(A165="","",H165-I165-K165)</x:f>
      </x:c>
      <x:c r="M165" s="77"/>
      <x:c r="N165" s="77"/>
      <x:c r="O165" s="77"/>
      <x:c r="P165" s="77"/>
    </x:row>
    <x:row r="166">
      <x:c r="A166" s="83"/>
      <x:c r="B166" s="77"/>
      <x:c r="C166" s="77"/>
      <x:c r="D166" s="77"/>
      <x:c r="E166" s="80"/>
      <x:c r="F166" s="80"/>
      <x:c r="G166" s="80"/>
      <x:c r="H166" s="80" t="str">
        <x:f>IF(A166="","",SUM(E166:G166))</x:f>
      </x:c>
      <x:c r="I166" s="80"/>
      <x:c r="J166" s="77"/>
      <x:c r="K166" s="80" t="str">
        <x:f>IF(A166="","",J166*Config!$B$8)</x:f>
      </x:c>
      <x:c r="L166" s="80" t="str">
        <x:f>IF(A166="","",H166-I166-K166)</x:f>
      </x:c>
      <x:c r="M166" s="77"/>
      <x:c r="N166" s="77"/>
      <x:c r="O166" s="77"/>
      <x:c r="P166" s="77"/>
    </x:row>
    <x:row r="167">
      <x:c r="A167" s="83"/>
      <x:c r="B167" s="77"/>
      <x:c r="C167" s="77"/>
      <x:c r="D167" s="77"/>
      <x:c r="E167" s="80"/>
      <x:c r="F167" s="80"/>
      <x:c r="G167" s="80"/>
      <x:c r="H167" s="80" t="str">
        <x:f>IF(A167="","",SUM(E167:G167))</x:f>
      </x:c>
      <x:c r="I167" s="80"/>
      <x:c r="J167" s="77"/>
      <x:c r="K167" s="80" t="str">
        <x:f>IF(A167="","",J167*Config!$B$8)</x:f>
      </x:c>
      <x:c r="L167" s="80" t="str">
        <x:f>IF(A167="","",H167-I167-K167)</x:f>
      </x:c>
      <x:c r="M167" s="77"/>
      <x:c r="N167" s="77"/>
      <x:c r="O167" s="77"/>
      <x:c r="P167" s="77"/>
    </x:row>
    <x:row r="168">
      <x:c r="A168" s="83"/>
      <x:c r="B168" s="77"/>
      <x:c r="C168" s="77"/>
      <x:c r="D168" s="77"/>
      <x:c r="E168" s="80"/>
      <x:c r="F168" s="80"/>
      <x:c r="G168" s="80"/>
      <x:c r="H168" s="80" t="str">
        <x:f>IF(A168="","",SUM(E168:G168))</x:f>
      </x:c>
      <x:c r="I168" s="80"/>
      <x:c r="J168" s="77"/>
      <x:c r="K168" s="80" t="str">
        <x:f>IF(A168="","",J168*Config!$B$8)</x:f>
      </x:c>
      <x:c r="L168" s="80" t="str">
        <x:f>IF(A168="","",H168-I168-K168)</x:f>
      </x:c>
      <x:c r="M168" s="77"/>
      <x:c r="N168" s="77"/>
      <x:c r="O168" s="77"/>
      <x:c r="P168" s="77"/>
    </x:row>
    <x:row r="169">
      <x:c r="A169" s="83"/>
      <x:c r="B169" s="77"/>
      <x:c r="C169" s="77"/>
      <x:c r="D169" s="77"/>
      <x:c r="E169" s="80"/>
      <x:c r="F169" s="80"/>
      <x:c r="G169" s="80"/>
      <x:c r="H169" s="80" t="str">
        <x:f>IF(A169="","",SUM(E169:G169))</x:f>
      </x:c>
      <x:c r="I169" s="80"/>
      <x:c r="J169" s="77"/>
      <x:c r="K169" s="80" t="str">
        <x:f>IF(A169="","",J169*Config!$B$8)</x:f>
      </x:c>
      <x:c r="L169" s="80" t="str">
        <x:f>IF(A169="","",H169-I169-K169)</x:f>
      </x:c>
      <x:c r="M169" s="77"/>
      <x:c r="N169" s="77"/>
      <x:c r="O169" s="77"/>
      <x:c r="P169" s="77"/>
    </x:row>
    <x:row r="170">
      <x:c r="A170" s="83"/>
      <x:c r="B170" s="77"/>
      <x:c r="C170" s="77"/>
      <x:c r="D170" s="77"/>
      <x:c r="E170" s="80"/>
      <x:c r="F170" s="80"/>
      <x:c r="G170" s="80"/>
      <x:c r="H170" s="80" t="str">
        <x:f>IF(A170="","",SUM(E170:G170))</x:f>
      </x:c>
      <x:c r="I170" s="80"/>
      <x:c r="J170" s="77"/>
      <x:c r="K170" s="80" t="str">
        <x:f>IF(A170="","",J170*Config!$B$8)</x:f>
      </x:c>
      <x:c r="L170" s="80" t="str">
        <x:f>IF(A170="","",H170-I170-K170)</x:f>
      </x:c>
      <x:c r="M170" s="77"/>
      <x:c r="N170" s="77"/>
      <x:c r="O170" s="77"/>
      <x:c r="P170" s="77"/>
    </x:row>
    <x:row r="171">
      <x:c r="A171" s="83"/>
      <x:c r="B171" s="77"/>
      <x:c r="C171" s="77"/>
      <x:c r="D171" s="77"/>
      <x:c r="E171" s="80"/>
      <x:c r="F171" s="80"/>
      <x:c r="G171" s="80"/>
      <x:c r="H171" s="80" t="str">
        <x:f>IF(A171="","",SUM(E171:G171))</x:f>
      </x:c>
      <x:c r="I171" s="80"/>
      <x:c r="J171" s="77"/>
      <x:c r="K171" s="80" t="str">
        <x:f>IF(A171="","",J171*Config!$B$8)</x:f>
      </x:c>
      <x:c r="L171" s="80" t="str">
        <x:f>IF(A171="","",H171-I171-K171)</x:f>
      </x:c>
      <x:c r="M171" s="77"/>
      <x:c r="N171" s="77"/>
      <x:c r="O171" s="77"/>
      <x:c r="P171" s="77"/>
    </x:row>
    <x:row r="172">
      <x:c r="A172" s="83"/>
      <x:c r="B172" s="77"/>
      <x:c r="C172" s="77"/>
      <x:c r="D172" s="77"/>
      <x:c r="E172" s="80"/>
      <x:c r="F172" s="80"/>
      <x:c r="G172" s="80"/>
      <x:c r="H172" s="80" t="str">
        <x:f>IF(A172="","",SUM(E172:G172))</x:f>
      </x:c>
      <x:c r="I172" s="80"/>
      <x:c r="J172" s="77"/>
      <x:c r="K172" s="80" t="str">
        <x:f>IF(A172="","",J172*Config!$B$8)</x:f>
      </x:c>
      <x:c r="L172" s="80" t="str">
        <x:f>IF(A172="","",H172-I172-K172)</x:f>
      </x:c>
      <x:c r="M172" s="77"/>
      <x:c r="N172" s="77"/>
      <x:c r="O172" s="77"/>
      <x:c r="P172" s="77"/>
    </x:row>
    <x:row r="173">
      <x:c r="A173" s="83"/>
      <x:c r="B173" s="77"/>
      <x:c r="C173" s="77"/>
      <x:c r="D173" s="77"/>
      <x:c r="E173" s="80"/>
      <x:c r="F173" s="80"/>
      <x:c r="G173" s="80"/>
      <x:c r="H173" s="80" t="str">
        <x:f>IF(A173="","",SUM(E173:G173))</x:f>
      </x:c>
      <x:c r="I173" s="80"/>
      <x:c r="J173" s="77"/>
      <x:c r="K173" s="80" t="str">
        <x:f>IF(A173="","",J173*Config!$B$8)</x:f>
      </x:c>
      <x:c r="L173" s="80" t="str">
        <x:f>IF(A173="","",H173-I173-K173)</x:f>
      </x:c>
      <x:c r="M173" s="77"/>
      <x:c r="N173" s="77"/>
      <x:c r="O173" s="77"/>
      <x:c r="P173" s="77"/>
    </x:row>
    <x:row r="174">
      <x:c r="A174" s="83"/>
      <x:c r="B174" s="77"/>
      <x:c r="C174" s="77"/>
      <x:c r="D174" s="77"/>
      <x:c r="E174" s="80"/>
      <x:c r="F174" s="80"/>
      <x:c r="G174" s="80"/>
      <x:c r="H174" s="80" t="str">
        <x:f>IF(A174="","",SUM(E174:G174))</x:f>
      </x:c>
      <x:c r="I174" s="80"/>
      <x:c r="J174" s="77"/>
      <x:c r="K174" s="80" t="str">
        <x:f>IF(A174="","",J174*Config!$B$8)</x:f>
      </x:c>
      <x:c r="L174" s="80" t="str">
        <x:f>IF(A174="","",H174-I174-K174)</x:f>
      </x:c>
      <x:c r="M174" s="77"/>
      <x:c r="N174" s="77"/>
      <x:c r="O174" s="77"/>
      <x:c r="P174" s="77"/>
    </x:row>
    <x:row r="175">
      <x:c r="A175" s="83"/>
      <x:c r="B175" s="77"/>
      <x:c r="C175" s="77"/>
      <x:c r="D175" s="77"/>
      <x:c r="E175" s="80"/>
      <x:c r="F175" s="80"/>
      <x:c r="G175" s="80"/>
      <x:c r="H175" s="80" t="str">
        <x:f>IF(A175="","",SUM(E175:G175))</x:f>
      </x:c>
      <x:c r="I175" s="80"/>
      <x:c r="J175" s="77"/>
      <x:c r="K175" s="80" t="str">
        <x:f>IF(A175="","",J175*Config!$B$8)</x:f>
      </x:c>
      <x:c r="L175" s="80" t="str">
        <x:f>IF(A175="","",H175-I175-K175)</x:f>
      </x:c>
      <x:c r="M175" s="77"/>
      <x:c r="N175" s="77"/>
      <x:c r="O175" s="77"/>
      <x:c r="P175" s="77"/>
    </x:row>
    <x:row r="176">
      <x:c r="A176" s="83"/>
      <x:c r="B176" s="77"/>
      <x:c r="C176" s="77"/>
      <x:c r="D176" s="77"/>
      <x:c r="E176" s="80"/>
      <x:c r="F176" s="80"/>
      <x:c r="G176" s="80"/>
      <x:c r="H176" s="80" t="str">
        <x:f>IF(A176="","",SUM(E176:G176))</x:f>
      </x:c>
      <x:c r="I176" s="80"/>
      <x:c r="J176" s="77"/>
      <x:c r="K176" s="80" t="str">
        <x:f>IF(A176="","",J176*Config!$B$8)</x:f>
      </x:c>
      <x:c r="L176" s="80" t="str">
        <x:f>IF(A176="","",H176-I176-K176)</x:f>
      </x:c>
      <x:c r="M176" s="77"/>
      <x:c r="N176" s="77"/>
      <x:c r="O176" s="77"/>
      <x:c r="P176" s="77"/>
    </x:row>
    <x:row r="177">
      <x:c r="A177" s="83"/>
      <x:c r="B177" s="77"/>
      <x:c r="C177" s="77"/>
      <x:c r="D177" s="77"/>
      <x:c r="E177" s="80"/>
      <x:c r="F177" s="80"/>
      <x:c r="G177" s="80"/>
      <x:c r="H177" s="80" t="str">
        <x:f>IF(A177="","",SUM(E177:G177))</x:f>
      </x:c>
      <x:c r="I177" s="80"/>
      <x:c r="J177" s="77"/>
      <x:c r="K177" s="80" t="str">
        <x:f>IF(A177="","",J177*Config!$B$8)</x:f>
      </x:c>
      <x:c r="L177" s="80" t="str">
        <x:f>IF(A177="","",H177-I177-K177)</x:f>
      </x:c>
      <x:c r="M177" s="77"/>
      <x:c r="N177" s="77"/>
      <x:c r="O177" s="77"/>
      <x:c r="P177" s="77"/>
    </x:row>
    <x:row r="178">
      <x:c r="A178" s="83"/>
      <x:c r="B178" s="77"/>
      <x:c r="C178" s="77"/>
      <x:c r="D178" s="77"/>
      <x:c r="E178" s="80"/>
      <x:c r="F178" s="80"/>
      <x:c r="G178" s="80"/>
      <x:c r="H178" s="80" t="str">
        <x:f>IF(A178="","",SUM(E178:G178))</x:f>
      </x:c>
      <x:c r="I178" s="80"/>
      <x:c r="J178" s="77"/>
      <x:c r="K178" s="80" t="str">
        <x:f>IF(A178="","",J178*Config!$B$8)</x:f>
      </x:c>
      <x:c r="L178" s="80" t="str">
        <x:f>IF(A178="","",H178-I178-K178)</x:f>
      </x:c>
      <x:c r="M178" s="77"/>
      <x:c r="N178" s="77"/>
      <x:c r="O178" s="77"/>
      <x:c r="P178" s="77"/>
    </x:row>
    <x:row r="179">
      <x:c r="A179" s="83"/>
      <x:c r="B179" s="77"/>
      <x:c r="C179" s="77"/>
      <x:c r="D179" s="77"/>
      <x:c r="E179" s="80"/>
      <x:c r="F179" s="80"/>
      <x:c r="G179" s="80"/>
      <x:c r="H179" s="80" t="str">
        <x:f>IF(A179="","",SUM(E179:G179))</x:f>
      </x:c>
      <x:c r="I179" s="80"/>
      <x:c r="J179" s="77"/>
      <x:c r="K179" s="80" t="str">
        <x:f>IF(A179="","",J179*Config!$B$8)</x:f>
      </x:c>
      <x:c r="L179" s="80" t="str">
        <x:f>IF(A179="","",H179-I179-K179)</x:f>
      </x:c>
      <x:c r="M179" s="77"/>
      <x:c r="N179" s="77"/>
      <x:c r="O179" s="77"/>
      <x:c r="P179" s="77"/>
    </x:row>
    <x:row r="180">
      <x:c r="A180" s="83"/>
      <x:c r="B180" s="77"/>
      <x:c r="C180" s="77"/>
      <x:c r="D180" s="77"/>
      <x:c r="E180" s="80"/>
      <x:c r="F180" s="80"/>
      <x:c r="G180" s="80"/>
      <x:c r="H180" s="80" t="str">
        <x:f>IF(A180="","",SUM(E180:G180))</x:f>
      </x:c>
      <x:c r="I180" s="80"/>
      <x:c r="J180" s="77"/>
      <x:c r="K180" s="80" t="str">
        <x:f>IF(A180="","",J180*Config!$B$8)</x:f>
      </x:c>
      <x:c r="L180" s="80" t="str">
        <x:f>IF(A180="","",H180-I180-K180)</x:f>
      </x:c>
      <x:c r="M180" s="77"/>
      <x:c r="N180" s="77"/>
      <x:c r="O180" s="77"/>
      <x:c r="P180" s="77"/>
    </x:row>
    <x:row r="181">
      <x:c r="A181" s="83"/>
      <x:c r="B181" s="77"/>
      <x:c r="C181" s="77"/>
      <x:c r="D181" s="77"/>
      <x:c r="E181" s="80"/>
      <x:c r="F181" s="80"/>
      <x:c r="G181" s="80"/>
      <x:c r="H181" s="80" t="str">
        <x:f>IF(A181="","",SUM(E181:G181))</x:f>
      </x:c>
      <x:c r="I181" s="80"/>
      <x:c r="J181" s="77"/>
      <x:c r="K181" s="80" t="str">
        <x:f>IF(A181="","",J181*Config!$B$8)</x:f>
      </x:c>
      <x:c r="L181" s="80" t="str">
        <x:f>IF(A181="","",H181-I181-K181)</x:f>
      </x:c>
      <x:c r="M181" s="77"/>
      <x:c r="N181" s="77"/>
      <x:c r="O181" s="77"/>
      <x:c r="P181" s="77"/>
    </x:row>
    <x:row r="182">
      <x:c r="A182" s="83"/>
      <x:c r="B182" s="77"/>
      <x:c r="C182" s="77"/>
      <x:c r="D182" s="77"/>
      <x:c r="E182" s="80"/>
      <x:c r="F182" s="80"/>
      <x:c r="G182" s="80"/>
      <x:c r="H182" s="80" t="str">
        <x:f>IF(A182="","",SUM(E182:G182))</x:f>
      </x:c>
      <x:c r="I182" s="80"/>
      <x:c r="J182" s="77"/>
      <x:c r="K182" s="80" t="str">
        <x:f>IF(A182="","",J182*Config!$B$8)</x:f>
      </x:c>
      <x:c r="L182" s="80" t="str">
        <x:f>IF(A182="","",H182-I182-K182)</x:f>
      </x:c>
      <x:c r="M182" s="77"/>
      <x:c r="N182" s="77"/>
      <x:c r="O182" s="77"/>
      <x:c r="P182" s="77"/>
    </x:row>
    <x:row r="183">
      <x:c r="A183" s="83"/>
      <x:c r="B183" s="77"/>
      <x:c r="C183" s="77"/>
      <x:c r="D183" s="77"/>
      <x:c r="E183" s="80"/>
      <x:c r="F183" s="80"/>
      <x:c r="G183" s="80"/>
      <x:c r="H183" s="80" t="str">
        <x:f>IF(A183="","",SUM(E183:G183))</x:f>
      </x:c>
      <x:c r="I183" s="80"/>
      <x:c r="J183" s="77"/>
      <x:c r="K183" s="80" t="str">
        <x:f>IF(A183="","",J183*Config!$B$8)</x:f>
      </x:c>
      <x:c r="L183" s="80" t="str">
        <x:f>IF(A183="","",H183-I183-K183)</x:f>
      </x:c>
      <x:c r="M183" s="77"/>
      <x:c r="N183" s="77"/>
      <x:c r="O183" s="77"/>
      <x:c r="P183" s="77"/>
    </x:row>
    <x:row r="184">
      <x:c r="A184" s="83"/>
      <x:c r="B184" s="77"/>
      <x:c r="C184" s="77"/>
      <x:c r="D184" s="77"/>
      <x:c r="E184" s="80"/>
      <x:c r="F184" s="80"/>
      <x:c r="G184" s="80"/>
      <x:c r="H184" s="80" t="str">
        <x:f>IF(A184="","",SUM(E184:G184))</x:f>
      </x:c>
      <x:c r="I184" s="80"/>
      <x:c r="J184" s="77"/>
      <x:c r="K184" s="80" t="str">
        <x:f>IF(A184="","",J184*Config!$B$8)</x:f>
      </x:c>
      <x:c r="L184" s="80" t="str">
        <x:f>IF(A184="","",H184-I184-K184)</x:f>
      </x:c>
      <x:c r="M184" s="77"/>
      <x:c r="N184" s="77"/>
      <x:c r="O184" s="77"/>
      <x:c r="P184" s="77"/>
    </x:row>
    <x:row r="185">
      <x:c r="A185" s="83"/>
      <x:c r="B185" s="77"/>
      <x:c r="C185" s="77"/>
      <x:c r="D185" s="77"/>
      <x:c r="E185" s="80"/>
      <x:c r="F185" s="80"/>
      <x:c r="G185" s="80"/>
      <x:c r="H185" s="80" t="str">
        <x:f>IF(A185="","",SUM(E185:G185))</x:f>
      </x:c>
      <x:c r="I185" s="80"/>
      <x:c r="J185" s="77"/>
      <x:c r="K185" s="80" t="str">
        <x:f>IF(A185="","",J185*Config!$B$8)</x:f>
      </x:c>
      <x:c r="L185" s="80" t="str">
        <x:f>IF(A185="","",H185-I185-K185)</x:f>
      </x:c>
      <x:c r="M185" s="77"/>
      <x:c r="N185" s="77"/>
      <x:c r="O185" s="77"/>
      <x:c r="P185" s="77"/>
    </x:row>
    <x:row r="186">
      <x:c r="A186" s="83"/>
      <x:c r="B186" s="77"/>
      <x:c r="C186" s="77"/>
      <x:c r="D186" s="77"/>
      <x:c r="E186" s="80"/>
      <x:c r="F186" s="80"/>
      <x:c r="G186" s="80"/>
      <x:c r="H186" s="80" t="str">
        <x:f>IF(A186="","",SUM(E186:G186))</x:f>
      </x:c>
      <x:c r="I186" s="80"/>
      <x:c r="J186" s="77"/>
      <x:c r="K186" s="80" t="str">
        <x:f>IF(A186="","",J186*Config!$B$8)</x:f>
      </x:c>
      <x:c r="L186" s="80" t="str">
        <x:f>IF(A186="","",H186-I186-K186)</x:f>
      </x:c>
      <x:c r="M186" s="77"/>
      <x:c r="N186" s="77"/>
      <x:c r="O186" s="77"/>
      <x:c r="P186" s="77"/>
    </x:row>
    <x:row r="187">
      <x:c r="A187" s="83"/>
      <x:c r="B187" s="77"/>
      <x:c r="C187" s="77"/>
      <x:c r="D187" s="77"/>
      <x:c r="E187" s="80"/>
      <x:c r="F187" s="80"/>
      <x:c r="G187" s="80"/>
      <x:c r="H187" s="80" t="str">
        <x:f>IF(A187="","",SUM(E187:G187))</x:f>
      </x:c>
      <x:c r="I187" s="80"/>
      <x:c r="J187" s="77"/>
      <x:c r="K187" s="80" t="str">
        <x:f>IF(A187="","",J187*Config!$B$8)</x:f>
      </x:c>
      <x:c r="L187" s="80" t="str">
        <x:f>IF(A187="","",H187-I187-K187)</x:f>
      </x:c>
      <x:c r="M187" s="77"/>
      <x:c r="N187" s="77"/>
      <x:c r="O187" s="77"/>
      <x:c r="P187" s="77"/>
    </x:row>
    <x:row r="188">
      <x:c r="A188" s="83"/>
      <x:c r="B188" s="77"/>
      <x:c r="C188" s="77"/>
      <x:c r="D188" s="77"/>
      <x:c r="E188" s="80"/>
      <x:c r="F188" s="80"/>
      <x:c r="G188" s="80"/>
      <x:c r="H188" s="80" t="str">
        <x:f>IF(A188="","",SUM(E188:G188))</x:f>
      </x:c>
      <x:c r="I188" s="80"/>
      <x:c r="J188" s="77"/>
      <x:c r="K188" s="80" t="str">
        <x:f>IF(A188="","",J188*Config!$B$8)</x:f>
      </x:c>
      <x:c r="L188" s="80" t="str">
        <x:f>IF(A188="","",H188-I188-K188)</x:f>
      </x:c>
      <x:c r="M188" s="77"/>
      <x:c r="N188" s="77"/>
      <x:c r="O188" s="77"/>
      <x:c r="P188" s="77"/>
    </x:row>
    <x:row r="189">
      <x:c r="A189" s="83"/>
      <x:c r="B189" s="77"/>
      <x:c r="C189" s="77"/>
      <x:c r="D189" s="77"/>
      <x:c r="E189" s="80"/>
      <x:c r="F189" s="80"/>
      <x:c r="G189" s="80"/>
      <x:c r="H189" s="80" t="str">
        <x:f>IF(A189="","",SUM(E189:G189))</x:f>
      </x:c>
      <x:c r="I189" s="80"/>
      <x:c r="J189" s="77"/>
      <x:c r="K189" s="80" t="str">
        <x:f>IF(A189="","",J189*Config!$B$8)</x:f>
      </x:c>
      <x:c r="L189" s="80" t="str">
        <x:f>IF(A189="","",H189-I189-K189)</x:f>
      </x:c>
      <x:c r="M189" s="77"/>
      <x:c r="N189" s="77"/>
      <x:c r="O189" s="77"/>
      <x:c r="P189" s="77"/>
    </x:row>
    <x:row r="190">
      <x:c r="A190" s="83"/>
      <x:c r="B190" s="77"/>
      <x:c r="C190" s="77"/>
      <x:c r="D190" s="77"/>
      <x:c r="E190" s="80"/>
      <x:c r="F190" s="80"/>
      <x:c r="G190" s="80"/>
      <x:c r="H190" s="80" t="str">
        <x:f>IF(A190="","",SUM(E190:G190))</x:f>
      </x:c>
      <x:c r="I190" s="80"/>
      <x:c r="J190" s="77"/>
      <x:c r="K190" s="80" t="str">
        <x:f>IF(A190="","",J190*Config!$B$8)</x:f>
      </x:c>
      <x:c r="L190" s="80" t="str">
        <x:f>IF(A190="","",H190-I190-K190)</x:f>
      </x:c>
      <x:c r="M190" s="77"/>
      <x:c r="N190" s="77"/>
      <x:c r="O190" s="77"/>
      <x:c r="P190" s="77"/>
    </x:row>
    <x:row r="191">
      <x:c r="A191" s="83"/>
      <x:c r="B191" s="77"/>
      <x:c r="C191" s="77"/>
      <x:c r="D191" s="77"/>
      <x:c r="E191" s="80"/>
      <x:c r="F191" s="80"/>
      <x:c r="G191" s="80"/>
      <x:c r="H191" s="80" t="str">
        <x:f>IF(A191="","",SUM(E191:G191))</x:f>
      </x:c>
      <x:c r="I191" s="80"/>
      <x:c r="J191" s="77"/>
      <x:c r="K191" s="80" t="str">
        <x:f>IF(A191="","",J191*Config!$B$8)</x:f>
      </x:c>
      <x:c r="L191" s="80" t="str">
        <x:f>IF(A191="","",H191-I191-K191)</x:f>
      </x:c>
      <x:c r="M191" s="77"/>
      <x:c r="N191" s="77"/>
      <x:c r="O191" s="77"/>
      <x:c r="P191" s="77"/>
    </x:row>
    <x:row r="192">
      <x:c r="A192" s="83"/>
      <x:c r="B192" s="77"/>
      <x:c r="C192" s="77"/>
      <x:c r="D192" s="77"/>
      <x:c r="E192" s="80"/>
      <x:c r="F192" s="80"/>
      <x:c r="G192" s="80"/>
      <x:c r="H192" s="80" t="str">
        <x:f>IF(A192="","",SUM(E192:G192))</x:f>
      </x:c>
      <x:c r="I192" s="80"/>
      <x:c r="J192" s="77"/>
      <x:c r="K192" s="80" t="str">
        <x:f>IF(A192="","",J192*Config!$B$8)</x:f>
      </x:c>
      <x:c r="L192" s="80" t="str">
        <x:f>IF(A192="","",H192-I192-K192)</x:f>
      </x:c>
      <x:c r="M192" s="77"/>
      <x:c r="N192" s="77"/>
      <x:c r="O192" s="77"/>
      <x:c r="P192" s="77"/>
    </x:row>
    <x:row r="193">
      <x:c r="A193" s="83"/>
      <x:c r="B193" s="77"/>
      <x:c r="C193" s="77"/>
      <x:c r="D193" s="77"/>
      <x:c r="E193" s="80"/>
      <x:c r="F193" s="80"/>
      <x:c r="G193" s="80"/>
      <x:c r="H193" s="80" t="str">
        <x:f>IF(A193="","",SUM(E193:G193))</x:f>
      </x:c>
      <x:c r="I193" s="80"/>
      <x:c r="J193" s="77"/>
      <x:c r="K193" s="80" t="str">
        <x:f>IF(A193="","",J193*Config!$B$8)</x:f>
      </x:c>
      <x:c r="L193" s="80" t="str">
        <x:f>IF(A193="","",H193-I193-K193)</x:f>
      </x:c>
      <x:c r="M193" s="77"/>
      <x:c r="N193" s="77"/>
      <x:c r="O193" s="77"/>
      <x:c r="P193" s="77"/>
    </x:row>
    <x:row r="194">
      <x:c r="A194" s="83"/>
      <x:c r="B194" s="77"/>
      <x:c r="C194" s="77"/>
      <x:c r="D194" s="77"/>
      <x:c r="E194" s="80"/>
      <x:c r="F194" s="80"/>
      <x:c r="G194" s="80"/>
      <x:c r="H194" s="80" t="str">
        <x:f>IF(A194="","",SUM(E194:G194))</x:f>
      </x:c>
      <x:c r="I194" s="80"/>
      <x:c r="J194" s="77"/>
      <x:c r="K194" s="80" t="str">
        <x:f>IF(A194="","",J194*Config!$B$8)</x:f>
      </x:c>
      <x:c r="L194" s="80" t="str">
        <x:f>IF(A194="","",H194-I194-K194)</x:f>
      </x:c>
      <x:c r="M194" s="77"/>
      <x:c r="N194" s="77"/>
      <x:c r="O194" s="77"/>
      <x:c r="P194" s="77"/>
    </x:row>
    <x:row r="195">
      <x:c r="A195" s="83"/>
      <x:c r="B195" s="77"/>
      <x:c r="C195" s="77"/>
      <x:c r="D195" s="77"/>
      <x:c r="E195" s="80"/>
      <x:c r="F195" s="80"/>
      <x:c r="G195" s="80"/>
      <x:c r="H195" s="80" t="str">
        <x:f>IF(A195="","",SUM(E195:G195))</x:f>
      </x:c>
      <x:c r="I195" s="80"/>
      <x:c r="J195" s="77"/>
      <x:c r="K195" s="80" t="str">
        <x:f>IF(A195="","",J195*Config!$B$8)</x:f>
      </x:c>
      <x:c r="L195" s="80" t="str">
        <x:f>IF(A195="","",H195-I195-K195)</x:f>
      </x:c>
      <x:c r="M195" s="77"/>
      <x:c r="N195" s="77"/>
      <x:c r="O195" s="77"/>
      <x:c r="P195" s="77"/>
    </x:row>
    <x:row r="196">
      <x:c r="A196" s="83"/>
      <x:c r="B196" s="77"/>
      <x:c r="C196" s="77"/>
      <x:c r="D196" s="77"/>
      <x:c r="E196" s="80"/>
      <x:c r="F196" s="80"/>
      <x:c r="G196" s="80"/>
      <x:c r="H196" s="80" t="str">
        <x:f>IF(A196="","",SUM(E196:G196))</x:f>
      </x:c>
      <x:c r="I196" s="80"/>
      <x:c r="J196" s="77"/>
      <x:c r="K196" s="80" t="str">
        <x:f>IF(A196="","",J196*Config!$B$8)</x:f>
      </x:c>
      <x:c r="L196" s="80" t="str">
        <x:f>IF(A196="","",H196-I196-K196)</x:f>
      </x:c>
      <x:c r="M196" s="77"/>
      <x:c r="N196" s="77"/>
      <x:c r="O196" s="77"/>
      <x:c r="P196" s="77"/>
    </x:row>
    <x:row r="197">
      <x:c r="A197" s="83"/>
      <x:c r="B197" s="77"/>
      <x:c r="C197" s="77"/>
      <x:c r="D197" s="77"/>
      <x:c r="E197" s="80"/>
      <x:c r="F197" s="80"/>
      <x:c r="G197" s="80"/>
      <x:c r="H197" s="80" t="str">
        <x:f>IF(A197="","",SUM(E197:G197))</x:f>
      </x:c>
      <x:c r="I197" s="80"/>
      <x:c r="J197" s="77"/>
      <x:c r="K197" s="80" t="str">
        <x:f>IF(A197="","",J197*Config!$B$8)</x:f>
      </x:c>
      <x:c r="L197" s="80" t="str">
        <x:f>IF(A197="","",H197-I197-K197)</x:f>
      </x:c>
      <x:c r="M197" s="77"/>
      <x:c r="N197" s="77"/>
      <x:c r="O197" s="77"/>
      <x:c r="P197" s="77"/>
    </x:row>
    <x:row r="198">
      <x:c r="A198" s="83"/>
      <x:c r="B198" s="77"/>
      <x:c r="C198" s="77"/>
      <x:c r="D198" s="77"/>
      <x:c r="E198" s="80"/>
      <x:c r="F198" s="80"/>
      <x:c r="G198" s="80"/>
      <x:c r="H198" s="80" t="str">
        <x:f>IF(A198="","",SUM(E198:G198))</x:f>
      </x:c>
      <x:c r="I198" s="80"/>
      <x:c r="J198" s="77"/>
      <x:c r="K198" s="80" t="str">
        <x:f>IF(A198="","",J198*Config!$B$8)</x:f>
      </x:c>
      <x:c r="L198" s="80" t="str">
        <x:f>IF(A198="","",H198-I198-K198)</x:f>
      </x:c>
      <x:c r="M198" s="77"/>
      <x:c r="N198" s="77"/>
      <x:c r="O198" s="77"/>
      <x:c r="P198" s="77"/>
    </x:row>
    <x:row r="199">
      <x:c r="A199" s="83"/>
      <x:c r="B199" s="77"/>
      <x:c r="C199" s="77"/>
      <x:c r="D199" s="77"/>
      <x:c r="E199" s="80"/>
      <x:c r="F199" s="80"/>
      <x:c r="G199" s="80"/>
      <x:c r="H199" s="80" t="str">
        <x:f>IF(A199="","",SUM(E199:G199))</x:f>
      </x:c>
      <x:c r="I199" s="80"/>
      <x:c r="J199" s="77"/>
      <x:c r="K199" s="80" t="str">
        <x:f>IF(A199="","",J199*Config!$B$8)</x:f>
      </x:c>
      <x:c r="L199" s="80" t="str">
        <x:f>IF(A199="","",H199-I199-K199)</x:f>
      </x:c>
      <x:c r="M199" s="77"/>
      <x:c r="N199" s="77"/>
      <x:c r="O199" s="77"/>
      <x:c r="P199" s="77"/>
    </x:row>
    <x:row r="200">
      <x:c r="A200" s="83"/>
      <x:c r="B200" s="77"/>
      <x:c r="C200" s="77"/>
      <x:c r="D200" s="77"/>
      <x:c r="E200" s="80"/>
      <x:c r="F200" s="80"/>
      <x:c r="G200" s="80"/>
      <x:c r="H200" s="80" t="str">
        <x:f>IF(A200="","",SUM(E200:G200))</x:f>
      </x:c>
      <x:c r="I200" s="80"/>
      <x:c r="J200" s="77"/>
      <x:c r="K200" s="80" t="str">
        <x:f>IF(A200="","",J200*Config!$B$8)</x:f>
      </x:c>
      <x:c r="L200" s="80" t="str">
        <x:f>IF(A200="","",H200-I200-K200)</x:f>
      </x:c>
      <x:c r="M200" s="77"/>
      <x:c r="N200" s="77"/>
      <x:c r="O200" s="77"/>
      <x:c r="P200" s="77"/>
    </x:row>
    <x:row r="201">
      <x:c r="A201" s="83"/>
      <x:c r="B201" s="77"/>
      <x:c r="C201" s="77"/>
      <x:c r="D201" s="77"/>
      <x:c r="E201" s="80"/>
      <x:c r="F201" s="80"/>
      <x:c r="G201" s="80"/>
      <x:c r="H201" s="80" t="str">
        <x:f>IF(A201="","",SUM(E201:G201))</x:f>
      </x:c>
      <x:c r="I201" s="80"/>
      <x:c r="J201" s="77"/>
      <x:c r="K201" s="80" t="str">
        <x:f>IF(A201="","",J201*Config!$B$8)</x:f>
      </x:c>
      <x:c r="L201" s="80" t="str">
        <x:f>IF(A201="","",H201-I201-K201)</x:f>
      </x:c>
      <x:c r="M201" s="77"/>
      <x:c r="N201" s="77"/>
      <x:c r="O201" s="77"/>
      <x:c r="P201" s="77"/>
    </x:row>
    <x:row r="202">
      <x:c r="A202" s="83"/>
      <x:c r="B202" s="77"/>
      <x:c r="C202" s="77"/>
      <x:c r="D202" s="77"/>
      <x:c r="E202" s="80"/>
      <x:c r="F202" s="80"/>
      <x:c r="G202" s="80"/>
      <x:c r="H202" s="80" t="str">
        <x:f>IF(A202="","",SUM(E202:G202))</x:f>
      </x:c>
      <x:c r="I202" s="80"/>
      <x:c r="J202" s="77"/>
      <x:c r="K202" s="80" t="str">
        <x:f>IF(A202="","",J202*Config!$B$8)</x:f>
      </x:c>
      <x:c r="L202" s="80" t="str">
        <x:f>IF(A202="","",H202-I202-K202)</x:f>
      </x:c>
      <x:c r="M202" s="77"/>
      <x:c r="N202" s="77"/>
      <x:c r="O202" s="77"/>
      <x:c r="P202" s="77"/>
    </x:row>
    <x:row r="203">
      <x:c r="A203" s="83"/>
      <x:c r="B203" s="77"/>
      <x:c r="C203" s="77"/>
      <x:c r="D203" s="77"/>
      <x:c r="E203" s="80"/>
      <x:c r="F203" s="80"/>
      <x:c r="G203" s="80"/>
      <x:c r="H203" s="80" t="str">
        <x:f>IF(A203="","",SUM(E203:G203))</x:f>
      </x:c>
      <x:c r="I203" s="80"/>
      <x:c r="J203" s="77"/>
      <x:c r="K203" s="80" t="str">
        <x:f>IF(A203="","",J203*Config!$B$8)</x:f>
      </x:c>
      <x:c r="L203" s="80" t="str">
        <x:f>IF(A203="","",H203-I203-K203)</x:f>
      </x:c>
      <x:c r="M203" s="77"/>
      <x:c r="N203" s="77"/>
      <x:c r="O203" s="77"/>
      <x:c r="P203" s="77"/>
    </x:row>
    <x:row r="204">
      <x:c r="A204" s="83"/>
      <x:c r="B204" s="77"/>
      <x:c r="C204" s="77"/>
      <x:c r="D204" s="77"/>
      <x:c r="E204" s="80"/>
      <x:c r="F204" s="80"/>
      <x:c r="G204" s="80"/>
      <x:c r="H204" s="80" t="str">
        <x:f>IF(A204="","",SUM(E204:G204))</x:f>
      </x:c>
      <x:c r="I204" s="80"/>
      <x:c r="J204" s="77"/>
      <x:c r="K204" s="80" t="str">
        <x:f>IF(A204="","",J204*Config!$B$8)</x:f>
      </x:c>
      <x:c r="L204" s="80" t="str">
        <x:f>IF(A204="","",H204-I204-K204)</x:f>
      </x:c>
      <x:c r="M204" s="77"/>
      <x:c r="N204" s="77"/>
      <x:c r="O204" s="77"/>
      <x:c r="P204" s="77"/>
    </x:row>
    <x:row r="205">
      <x:c r="A205" s="83"/>
      <x:c r="B205" s="77"/>
      <x:c r="C205" s="77"/>
      <x:c r="D205" s="77"/>
      <x:c r="E205" s="80"/>
      <x:c r="F205" s="80"/>
      <x:c r="G205" s="80"/>
      <x:c r="H205" s="80" t="str">
        <x:f>IF(A205="","",SUM(E205:G205))</x:f>
      </x:c>
      <x:c r="I205" s="80"/>
      <x:c r="J205" s="77"/>
      <x:c r="K205" s="80" t="str">
        <x:f>IF(A205="","",J205*Config!$B$8)</x:f>
      </x:c>
      <x:c r="L205" s="80" t="str">
        <x:f>IF(A205="","",H205-I205-K205)</x:f>
      </x:c>
      <x:c r="M205" s="77"/>
      <x:c r="N205" s="77"/>
      <x:c r="O205" s="77"/>
      <x:c r="P205" s="77"/>
    </x:row>
    <x:row r="206">
      <x:c r="A206" s="83"/>
      <x:c r="B206" s="77"/>
      <x:c r="C206" s="77"/>
      <x:c r="D206" s="77"/>
      <x:c r="E206" s="80"/>
      <x:c r="F206" s="80"/>
      <x:c r="G206" s="80"/>
      <x:c r="H206" s="80" t="str">
        <x:f>IF(A206="","",SUM(E206:G206))</x:f>
      </x:c>
      <x:c r="I206" s="80"/>
      <x:c r="J206" s="77"/>
      <x:c r="K206" s="80" t="str">
        <x:f>IF(A206="","",J206*Config!$B$8)</x:f>
      </x:c>
      <x:c r="L206" s="80" t="str">
        <x:f>IF(A206="","",H206-I206-K206)</x:f>
      </x:c>
      <x:c r="M206" s="77"/>
      <x:c r="N206" s="77"/>
      <x:c r="O206" s="77"/>
      <x:c r="P206" s="77"/>
    </x:row>
    <x:row r="207">
      <x:c r="A207" s="83"/>
      <x:c r="B207" s="77"/>
      <x:c r="C207" s="77"/>
      <x:c r="D207" s="77"/>
      <x:c r="E207" s="80"/>
      <x:c r="F207" s="80"/>
      <x:c r="G207" s="80"/>
      <x:c r="H207" s="80" t="str">
        <x:f>IF(A207="","",SUM(E207:G207))</x:f>
      </x:c>
      <x:c r="I207" s="80"/>
      <x:c r="J207" s="77"/>
      <x:c r="K207" s="80" t="str">
        <x:f>IF(A207="","",J207*Config!$B$8)</x:f>
      </x:c>
      <x:c r="L207" s="80" t="str">
        <x:f>IF(A207="","",H207-I207-K207)</x:f>
      </x:c>
      <x:c r="M207" s="77"/>
      <x:c r="N207" s="77"/>
      <x:c r="O207" s="77"/>
      <x:c r="P207" s="77"/>
    </x:row>
    <x:row r="208">
      <x:c r="A208" s="83"/>
      <x:c r="B208" s="77"/>
      <x:c r="C208" s="77"/>
      <x:c r="D208" s="77"/>
      <x:c r="E208" s="80"/>
      <x:c r="F208" s="80"/>
      <x:c r="G208" s="80"/>
      <x:c r="H208" s="80" t="str">
        <x:f>IF(A208="","",SUM(E208:G208))</x:f>
      </x:c>
      <x:c r="I208" s="80"/>
      <x:c r="J208" s="77"/>
      <x:c r="K208" s="80" t="str">
        <x:f>IF(A208="","",J208*Config!$B$8)</x:f>
      </x:c>
      <x:c r="L208" s="80" t="str">
        <x:f>IF(A208="","",H208-I208-K208)</x:f>
      </x:c>
      <x:c r="M208" s="77"/>
      <x:c r="N208" s="77"/>
      <x:c r="O208" s="77"/>
      <x:c r="P208" s="77"/>
    </x:row>
    <x:row r="209">
      <x:c r="A209" s="83"/>
      <x:c r="B209" s="77"/>
      <x:c r="C209" s="77"/>
      <x:c r="D209" s="77"/>
      <x:c r="E209" s="80"/>
      <x:c r="F209" s="80"/>
      <x:c r="G209" s="80"/>
      <x:c r="H209" s="80" t="str">
        <x:f>IF(A209="","",SUM(E209:G209))</x:f>
      </x:c>
      <x:c r="I209" s="80"/>
      <x:c r="J209" s="77"/>
      <x:c r="K209" s="80" t="str">
        <x:f>IF(A209="","",J209*Config!$B$8)</x:f>
      </x:c>
      <x:c r="L209" s="80" t="str">
        <x:f>IF(A209="","",H209-I209-K209)</x:f>
      </x:c>
      <x:c r="M209" s="77"/>
      <x:c r="N209" s="77"/>
      <x:c r="O209" s="77"/>
      <x:c r="P209" s="77"/>
    </x:row>
    <x:row r="210">
      <x:c r="A210" s="83"/>
      <x:c r="B210" s="77"/>
      <x:c r="C210" s="77"/>
      <x:c r="D210" s="77"/>
      <x:c r="E210" s="80"/>
      <x:c r="F210" s="80"/>
      <x:c r="G210" s="80"/>
      <x:c r="H210" s="80" t="str">
        <x:f>IF(A210="","",SUM(E210:G210))</x:f>
      </x:c>
      <x:c r="I210" s="80"/>
      <x:c r="J210" s="77"/>
      <x:c r="K210" s="80" t="str">
        <x:f>IF(A210="","",J210*Config!$B$8)</x:f>
      </x:c>
      <x:c r="L210" s="80" t="str">
        <x:f>IF(A210="","",H210-I210-K210)</x:f>
      </x:c>
      <x:c r="M210" s="77"/>
      <x:c r="N210" s="77"/>
      <x:c r="O210" s="77"/>
      <x:c r="P210" s="77"/>
    </x:row>
    <x:row r="211">
      <x:c r="A211" s="83"/>
      <x:c r="B211" s="77"/>
      <x:c r="C211" s="77"/>
      <x:c r="D211" s="77"/>
      <x:c r="E211" s="80"/>
      <x:c r="F211" s="80"/>
      <x:c r="G211" s="80"/>
      <x:c r="H211" s="80" t="str">
        <x:f>IF(A211="","",SUM(E211:G211))</x:f>
      </x:c>
      <x:c r="I211" s="80"/>
      <x:c r="J211" s="77"/>
      <x:c r="K211" s="80" t="str">
        <x:f>IF(A211="","",J211*Config!$B$8)</x:f>
      </x:c>
      <x:c r="L211" s="80" t="str">
        <x:f>IF(A211="","",H211-I211-K211)</x:f>
      </x:c>
      <x:c r="M211" s="77"/>
      <x:c r="N211" s="77"/>
      <x:c r="O211" s="77"/>
      <x:c r="P211" s="77"/>
    </x:row>
    <x:row r="212">
      <x:c r="A212" s="83"/>
      <x:c r="B212" s="77"/>
      <x:c r="C212" s="77"/>
      <x:c r="D212" s="77"/>
      <x:c r="E212" s="80"/>
      <x:c r="F212" s="80"/>
      <x:c r="G212" s="80"/>
      <x:c r="H212" s="80" t="str">
        <x:f>IF(A212="","",SUM(E212:G212))</x:f>
      </x:c>
      <x:c r="I212" s="80"/>
      <x:c r="J212" s="77"/>
      <x:c r="K212" s="80" t="str">
        <x:f>IF(A212="","",J212*Config!$B$8)</x:f>
      </x:c>
      <x:c r="L212" s="80" t="str">
        <x:f>IF(A212="","",H212-I212-K212)</x:f>
      </x:c>
      <x:c r="M212" s="77"/>
      <x:c r="N212" s="77"/>
      <x:c r="O212" s="77"/>
      <x:c r="P212" s="77"/>
    </x:row>
    <x:row r="213">
      <x:c r="A213" s="83"/>
      <x:c r="B213" s="77"/>
      <x:c r="C213" s="77"/>
      <x:c r="D213" s="77"/>
      <x:c r="E213" s="80"/>
      <x:c r="F213" s="80"/>
      <x:c r="G213" s="80"/>
      <x:c r="H213" s="80" t="str">
        <x:f>IF(A213="","",SUM(E213:G213))</x:f>
      </x:c>
      <x:c r="I213" s="80"/>
      <x:c r="J213" s="77"/>
      <x:c r="K213" s="80" t="str">
        <x:f>IF(A213="","",J213*Config!$B$8)</x:f>
      </x:c>
      <x:c r="L213" s="80" t="str">
        <x:f>IF(A213="","",H213-I213-K213)</x:f>
      </x:c>
      <x:c r="M213" s="77"/>
      <x:c r="N213" s="77"/>
      <x:c r="O213" s="77"/>
      <x:c r="P213" s="77"/>
    </x:row>
    <x:row r="214">
      <x:c r="A214" s="83"/>
      <x:c r="B214" s="77"/>
      <x:c r="C214" s="77"/>
      <x:c r="D214" s="77"/>
      <x:c r="E214" s="80"/>
      <x:c r="F214" s="80"/>
      <x:c r="G214" s="80"/>
      <x:c r="H214" s="80" t="str">
        <x:f>IF(A214="","",SUM(E214:G214))</x:f>
      </x:c>
      <x:c r="I214" s="80"/>
      <x:c r="J214" s="77"/>
      <x:c r="K214" s="80" t="str">
        <x:f>IF(A214="","",J214*Config!$B$8)</x:f>
      </x:c>
      <x:c r="L214" s="80" t="str">
        <x:f>IF(A214="","",H214-I214-K214)</x:f>
      </x:c>
      <x:c r="M214" s="77"/>
      <x:c r="N214" s="77"/>
      <x:c r="O214" s="77"/>
      <x:c r="P214" s="77"/>
    </x:row>
    <x:row r="215">
      <x:c r="A215" s="83"/>
      <x:c r="B215" s="77"/>
      <x:c r="C215" s="77"/>
      <x:c r="D215" s="77"/>
      <x:c r="E215" s="80"/>
      <x:c r="F215" s="80"/>
      <x:c r="G215" s="80"/>
      <x:c r="H215" s="80" t="str">
        <x:f>IF(A215="","",SUM(E215:G215))</x:f>
      </x:c>
      <x:c r="I215" s="80"/>
      <x:c r="J215" s="77"/>
      <x:c r="K215" s="80" t="str">
        <x:f>IF(A215="","",J215*Config!$B$8)</x:f>
      </x:c>
      <x:c r="L215" s="80" t="str">
        <x:f>IF(A215="","",H215-I215-K215)</x:f>
      </x:c>
      <x:c r="M215" s="77"/>
      <x:c r="N215" s="77"/>
      <x:c r="O215" s="77"/>
      <x:c r="P215" s="77"/>
    </x:row>
    <x:row r="216">
      <x:c r="A216" s="83"/>
      <x:c r="B216" s="77"/>
      <x:c r="C216" s="77"/>
      <x:c r="D216" s="77"/>
      <x:c r="E216" s="80"/>
      <x:c r="F216" s="80"/>
      <x:c r="G216" s="80"/>
      <x:c r="H216" s="80" t="str">
        <x:f>IF(A216="","",SUM(E216:G216))</x:f>
      </x:c>
      <x:c r="I216" s="80"/>
      <x:c r="J216" s="77"/>
      <x:c r="K216" s="80" t="str">
        <x:f>IF(A216="","",J216*Config!$B$8)</x:f>
      </x:c>
      <x:c r="L216" s="80" t="str">
        <x:f>IF(A216="","",H216-I216-K216)</x:f>
      </x:c>
      <x:c r="M216" s="77"/>
      <x:c r="N216" s="77"/>
      <x:c r="O216" s="77"/>
      <x:c r="P216" s="77"/>
    </x:row>
    <x:row r="217">
      <x:c r="A217" s="83"/>
      <x:c r="B217" s="77"/>
      <x:c r="C217" s="77"/>
      <x:c r="D217" s="77"/>
      <x:c r="E217" s="80"/>
      <x:c r="F217" s="80"/>
      <x:c r="G217" s="80"/>
      <x:c r="H217" s="80" t="str">
        <x:f>IF(A217="","",SUM(E217:G217))</x:f>
      </x:c>
      <x:c r="I217" s="80"/>
      <x:c r="J217" s="77"/>
      <x:c r="K217" s="80" t="str">
        <x:f>IF(A217="","",J217*Config!$B$8)</x:f>
      </x:c>
      <x:c r="L217" s="80" t="str">
        <x:f>IF(A217="","",H217-I217-K217)</x:f>
      </x:c>
      <x:c r="M217" s="77"/>
      <x:c r="N217" s="77"/>
      <x:c r="O217" s="77"/>
      <x:c r="P217" s="77"/>
    </x:row>
    <x:row r="218">
      <x:c r="A218" s="83"/>
      <x:c r="B218" s="77"/>
      <x:c r="C218" s="77"/>
      <x:c r="D218" s="77"/>
      <x:c r="E218" s="80"/>
      <x:c r="F218" s="80"/>
      <x:c r="G218" s="80"/>
      <x:c r="H218" s="80" t="str">
        <x:f>IF(A218="","",SUM(E218:G218))</x:f>
      </x:c>
      <x:c r="I218" s="80"/>
      <x:c r="J218" s="77"/>
      <x:c r="K218" s="80" t="str">
        <x:f>IF(A218="","",J218*Config!$B$8)</x:f>
      </x:c>
      <x:c r="L218" s="80" t="str">
        <x:f>IF(A218="","",H218-I218-K218)</x:f>
      </x:c>
      <x:c r="M218" s="77"/>
      <x:c r="N218" s="77"/>
      <x:c r="O218" s="77"/>
      <x:c r="P218" s="77"/>
    </x:row>
    <x:row r="219">
      <x:c r="A219" s="83"/>
      <x:c r="B219" s="77"/>
      <x:c r="C219" s="77"/>
      <x:c r="D219" s="77"/>
      <x:c r="E219" s="80"/>
      <x:c r="F219" s="80"/>
      <x:c r="G219" s="80"/>
      <x:c r="H219" s="80" t="str">
        <x:f>IF(A219="","",SUM(E219:G219))</x:f>
      </x:c>
      <x:c r="I219" s="80"/>
      <x:c r="J219" s="77"/>
      <x:c r="K219" s="80" t="str">
        <x:f>IF(A219="","",J219*Config!$B$8)</x:f>
      </x:c>
      <x:c r="L219" s="80" t="str">
        <x:f>IF(A219="","",H219-I219-K219)</x:f>
      </x:c>
      <x:c r="M219" s="77"/>
      <x:c r="N219" s="77"/>
      <x:c r="O219" s="77"/>
      <x:c r="P219" s="77"/>
    </x:row>
    <x:row r="220">
      <x:c r="A220" s="83"/>
      <x:c r="B220" s="77"/>
      <x:c r="C220" s="77"/>
      <x:c r="D220" s="77"/>
      <x:c r="E220" s="80"/>
      <x:c r="F220" s="80"/>
      <x:c r="G220" s="80"/>
      <x:c r="H220" s="80" t="str">
        <x:f>IF(A220="","",SUM(E220:G220))</x:f>
      </x:c>
      <x:c r="I220" s="80"/>
      <x:c r="J220" s="77"/>
      <x:c r="K220" s="80" t="str">
        <x:f>IF(A220="","",J220*Config!$B$8)</x:f>
      </x:c>
      <x:c r="L220" s="80" t="str">
        <x:f>IF(A220="","",H220-I220-K220)</x:f>
      </x:c>
      <x:c r="M220" s="77"/>
      <x:c r="N220" s="77"/>
      <x:c r="O220" s="77"/>
      <x:c r="P220" s="77"/>
    </x:row>
    <x:row r="221">
      <x:c r="A221" s="83"/>
      <x:c r="B221" s="77"/>
      <x:c r="C221" s="77"/>
      <x:c r="D221" s="77"/>
      <x:c r="E221" s="80"/>
      <x:c r="F221" s="80"/>
      <x:c r="G221" s="80"/>
      <x:c r="H221" s="80" t="str">
        <x:f>IF(A221="","",SUM(E221:G221))</x:f>
      </x:c>
      <x:c r="I221" s="80"/>
      <x:c r="J221" s="77"/>
      <x:c r="K221" s="80" t="str">
        <x:f>IF(A221="","",J221*Config!$B$8)</x:f>
      </x:c>
      <x:c r="L221" s="80" t="str">
        <x:f>IF(A221="","",H221-I221-K221)</x:f>
      </x:c>
      <x:c r="M221" s="77"/>
      <x:c r="N221" s="77"/>
      <x:c r="O221" s="77"/>
      <x:c r="P221" s="77"/>
    </x:row>
    <x:row r="222">
      <x:c r="A222" s="83"/>
      <x:c r="B222" s="77"/>
      <x:c r="C222" s="77"/>
      <x:c r="D222" s="77"/>
      <x:c r="E222" s="80"/>
      <x:c r="F222" s="80"/>
      <x:c r="G222" s="80"/>
      <x:c r="H222" s="80" t="str">
        <x:f>IF(A222="","",SUM(E222:G222))</x:f>
      </x:c>
      <x:c r="I222" s="80"/>
      <x:c r="J222" s="77"/>
      <x:c r="K222" s="80" t="str">
        <x:f>IF(A222="","",J222*Config!$B$8)</x:f>
      </x:c>
      <x:c r="L222" s="80" t="str">
        <x:f>IF(A222="","",H222-I222-K222)</x:f>
      </x:c>
      <x:c r="M222" s="77"/>
      <x:c r="N222" s="77"/>
      <x:c r="O222" s="77"/>
      <x:c r="P222" s="77"/>
    </x:row>
    <x:row r="223">
      <x:c r="A223" s="83"/>
      <x:c r="B223" s="77"/>
      <x:c r="C223" s="77"/>
      <x:c r="D223" s="77"/>
      <x:c r="E223" s="80"/>
      <x:c r="F223" s="80"/>
      <x:c r="G223" s="80"/>
      <x:c r="H223" s="80" t="str">
        <x:f>IF(A223="","",SUM(E223:G223))</x:f>
      </x:c>
      <x:c r="I223" s="80"/>
      <x:c r="J223" s="77"/>
      <x:c r="K223" s="80" t="str">
        <x:f>IF(A223="","",J223*Config!$B$8)</x:f>
      </x:c>
      <x:c r="L223" s="80" t="str">
        <x:f>IF(A223="","",H223-I223-K223)</x:f>
      </x:c>
      <x:c r="M223" s="77"/>
      <x:c r="N223" s="77"/>
      <x:c r="O223" s="77"/>
      <x:c r="P223" s="77"/>
    </x:row>
    <x:row r="224">
      <x:c r="A224" s="83"/>
      <x:c r="B224" s="77"/>
      <x:c r="C224" s="77"/>
      <x:c r="D224" s="77"/>
      <x:c r="E224" s="80"/>
      <x:c r="F224" s="80"/>
      <x:c r="G224" s="80"/>
      <x:c r="H224" s="80" t="str">
        <x:f>IF(A224="","",SUM(E224:G224))</x:f>
      </x:c>
      <x:c r="I224" s="80"/>
      <x:c r="J224" s="77"/>
      <x:c r="K224" s="80" t="str">
        <x:f>IF(A224="","",J224*Config!$B$8)</x:f>
      </x:c>
      <x:c r="L224" s="80" t="str">
        <x:f>IF(A224="","",H224-I224-K224)</x:f>
      </x:c>
      <x:c r="M224" s="77"/>
      <x:c r="N224" s="77"/>
      <x:c r="O224" s="77"/>
      <x:c r="P224" s="77"/>
    </x:row>
    <x:row r="225">
      <x:c r="A225" s="83"/>
      <x:c r="B225" s="77"/>
      <x:c r="C225" s="77"/>
      <x:c r="D225" s="77"/>
      <x:c r="E225" s="80"/>
      <x:c r="F225" s="80"/>
      <x:c r="G225" s="80"/>
      <x:c r="H225" s="80" t="str">
        <x:f>IF(A225="","",SUM(E225:G225))</x:f>
      </x:c>
      <x:c r="I225" s="80"/>
      <x:c r="J225" s="77"/>
      <x:c r="K225" s="80" t="str">
        <x:f>IF(A225="","",J225*Config!$B$8)</x:f>
      </x:c>
      <x:c r="L225" s="80" t="str">
        <x:f>IF(A225="","",H225-I225-K225)</x:f>
      </x:c>
      <x:c r="M225" s="77"/>
      <x:c r="N225" s="77"/>
      <x:c r="O225" s="77"/>
      <x:c r="P225" s="77"/>
    </x:row>
    <x:row r="226">
      <x:c r="A226" s="83"/>
      <x:c r="B226" s="77"/>
      <x:c r="C226" s="77"/>
      <x:c r="D226" s="77"/>
      <x:c r="E226" s="80"/>
      <x:c r="F226" s="80"/>
      <x:c r="G226" s="80"/>
      <x:c r="H226" s="80" t="str">
        <x:f>IF(A226="","",SUM(E226:G226))</x:f>
      </x:c>
      <x:c r="I226" s="80"/>
      <x:c r="J226" s="77"/>
      <x:c r="K226" s="80" t="str">
        <x:f>IF(A226="","",J226*Config!$B$8)</x:f>
      </x:c>
      <x:c r="L226" s="80" t="str">
        <x:f>IF(A226="","",H226-I226-K226)</x:f>
      </x:c>
      <x:c r="M226" s="77"/>
      <x:c r="N226" s="77"/>
      <x:c r="O226" s="77"/>
      <x:c r="P226" s="77"/>
    </x:row>
    <x:row r="227">
      <x:c r="A227" s="83"/>
      <x:c r="B227" s="77"/>
      <x:c r="C227" s="77"/>
      <x:c r="D227" s="77"/>
      <x:c r="E227" s="80"/>
      <x:c r="F227" s="80"/>
      <x:c r="G227" s="80"/>
      <x:c r="H227" s="80" t="str">
        <x:f>IF(A227="","",SUM(E227:G227))</x:f>
      </x:c>
      <x:c r="I227" s="80"/>
      <x:c r="J227" s="77"/>
      <x:c r="K227" s="80" t="str">
        <x:f>IF(A227="","",J227*Config!$B$8)</x:f>
      </x:c>
      <x:c r="L227" s="80" t="str">
        <x:f>IF(A227="","",H227-I227-K227)</x:f>
      </x:c>
      <x:c r="M227" s="77"/>
      <x:c r="N227" s="77"/>
      <x:c r="O227" s="77"/>
      <x:c r="P227" s="77"/>
    </x:row>
    <x:row r="228">
      <x:c r="A228" s="83"/>
      <x:c r="B228" s="77"/>
      <x:c r="C228" s="77"/>
      <x:c r="D228" s="77"/>
      <x:c r="E228" s="80"/>
      <x:c r="F228" s="80"/>
      <x:c r="G228" s="80"/>
      <x:c r="H228" s="80" t="str">
        <x:f>IF(A228="","",SUM(E228:G228))</x:f>
      </x:c>
      <x:c r="I228" s="80"/>
      <x:c r="J228" s="77"/>
      <x:c r="K228" s="80" t="str">
        <x:f>IF(A228="","",J228*Config!$B$8)</x:f>
      </x:c>
      <x:c r="L228" s="80" t="str">
        <x:f>IF(A228="","",H228-I228-K228)</x:f>
      </x:c>
      <x:c r="M228" s="77"/>
      <x:c r="N228" s="77"/>
      <x:c r="O228" s="77"/>
      <x:c r="P228" s="77"/>
    </x:row>
    <x:row r="229">
      <x:c r="A229" s="83"/>
      <x:c r="B229" s="77"/>
      <x:c r="C229" s="77"/>
      <x:c r="D229" s="77"/>
      <x:c r="E229" s="80"/>
      <x:c r="F229" s="80"/>
      <x:c r="G229" s="80"/>
      <x:c r="H229" s="80" t="str">
        <x:f>IF(A229="","",SUM(E229:G229))</x:f>
      </x:c>
      <x:c r="I229" s="80"/>
      <x:c r="J229" s="77"/>
      <x:c r="K229" s="80" t="str">
        <x:f>IF(A229="","",J229*Config!$B$8)</x:f>
      </x:c>
      <x:c r="L229" s="80" t="str">
        <x:f>IF(A229="","",H229-I229-K229)</x:f>
      </x:c>
      <x:c r="M229" s="77"/>
      <x:c r="N229" s="77"/>
      <x:c r="O229" s="77"/>
      <x:c r="P229" s="77"/>
    </x:row>
    <x:row r="230">
      <x:c r="A230" s="83"/>
      <x:c r="B230" s="77"/>
      <x:c r="C230" s="77"/>
      <x:c r="D230" s="77"/>
      <x:c r="E230" s="80"/>
      <x:c r="F230" s="80"/>
      <x:c r="G230" s="80"/>
      <x:c r="H230" s="80" t="str">
        <x:f>IF(A230="","",SUM(E230:G230))</x:f>
      </x:c>
      <x:c r="I230" s="80"/>
      <x:c r="J230" s="77"/>
      <x:c r="K230" s="80" t="str">
        <x:f>IF(A230="","",J230*Config!$B$8)</x:f>
      </x:c>
      <x:c r="L230" s="80" t="str">
        <x:f>IF(A230="","",H230-I230-K230)</x:f>
      </x:c>
      <x:c r="M230" s="77"/>
      <x:c r="N230" s="77"/>
      <x:c r="O230" s="77"/>
      <x:c r="P230" s="77"/>
    </x:row>
    <x:row r="231">
      <x:c r="A231" s="83"/>
      <x:c r="B231" s="77"/>
      <x:c r="C231" s="77"/>
      <x:c r="D231" s="77"/>
      <x:c r="E231" s="80"/>
      <x:c r="F231" s="80"/>
      <x:c r="G231" s="80"/>
      <x:c r="H231" s="80" t="str">
        <x:f>IF(A231="","",SUM(E231:G231))</x:f>
      </x:c>
      <x:c r="I231" s="80"/>
      <x:c r="J231" s="77"/>
      <x:c r="K231" s="80" t="str">
        <x:f>IF(A231="","",J231*Config!$B$8)</x:f>
      </x:c>
      <x:c r="L231" s="80" t="str">
        <x:f>IF(A231="","",H231-I231-K231)</x:f>
      </x:c>
      <x:c r="M231" s="77"/>
      <x:c r="N231" s="77"/>
      <x:c r="O231" s="77"/>
      <x:c r="P231" s="77"/>
    </x:row>
    <x:row r="232">
      <x:c r="A232" s="83"/>
      <x:c r="B232" s="77"/>
      <x:c r="C232" s="77"/>
      <x:c r="D232" s="77"/>
      <x:c r="E232" s="80"/>
      <x:c r="F232" s="80"/>
      <x:c r="G232" s="80"/>
      <x:c r="H232" s="80" t="str">
        <x:f>IF(A232="","",SUM(E232:G232))</x:f>
      </x:c>
      <x:c r="I232" s="80"/>
      <x:c r="J232" s="77"/>
      <x:c r="K232" s="80" t="str">
        <x:f>IF(A232="","",J232*Config!$B$8)</x:f>
      </x:c>
      <x:c r="L232" s="80" t="str">
        <x:f>IF(A232="","",H232-I232-K232)</x:f>
      </x:c>
      <x:c r="M232" s="77"/>
      <x:c r="N232" s="77"/>
      <x:c r="O232" s="77"/>
      <x:c r="P232" s="77"/>
    </x:row>
    <x:row r="233">
      <x:c r="A233" s="83"/>
      <x:c r="B233" s="77"/>
      <x:c r="C233" s="77"/>
      <x:c r="D233" s="77"/>
      <x:c r="E233" s="80"/>
      <x:c r="F233" s="80"/>
      <x:c r="G233" s="80"/>
      <x:c r="H233" s="80" t="str">
        <x:f>IF(A233="","",SUM(E233:G233))</x:f>
      </x:c>
      <x:c r="I233" s="80"/>
      <x:c r="J233" s="77"/>
      <x:c r="K233" s="80" t="str">
        <x:f>IF(A233="","",J233*Config!$B$8)</x:f>
      </x:c>
      <x:c r="L233" s="80" t="str">
        <x:f>IF(A233="","",H233-I233-K233)</x:f>
      </x:c>
      <x:c r="M233" s="77"/>
      <x:c r="N233" s="77"/>
      <x:c r="O233" s="77"/>
      <x:c r="P233" s="77"/>
    </x:row>
    <x:row r="234">
      <x:c r="A234" s="83"/>
      <x:c r="B234" s="77"/>
      <x:c r="C234" s="77"/>
      <x:c r="D234" s="77"/>
      <x:c r="E234" s="80"/>
      <x:c r="F234" s="80"/>
      <x:c r="G234" s="80"/>
      <x:c r="H234" s="80" t="str">
        <x:f>IF(A234="","",SUM(E234:G234))</x:f>
      </x:c>
      <x:c r="I234" s="80"/>
      <x:c r="J234" s="77"/>
      <x:c r="K234" s="80" t="str">
        <x:f>IF(A234="","",J234*Config!$B$8)</x:f>
      </x:c>
      <x:c r="L234" s="80" t="str">
        <x:f>IF(A234="","",H234-I234-K234)</x:f>
      </x:c>
      <x:c r="M234" s="77"/>
      <x:c r="N234" s="77"/>
      <x:c r="O234" s="77"/>
      <x:c r="P234" s="77"/>
    </x:row>
    <x:row r="235">
      <x:c r="A235" s="83"/>
      <x:c r="B235" s="77"/>
      <x:c r="C235" s="77"/>
      <x:c r="D235" s="77"/>
      <x:c r="E235" s="80"/>
      <x:c r="F235" s="80"/>
      <x:c r="G235" s="80"/>
      <x:c r="H235" s="80" t="str">
        <x:f>IF(A235="","",SUM(E235:G235))</x:f>
      </x:c>
      <x:c r="I235" s="80"/>
      <x:c r="J235" s="77"/>
      <x:c r="K235" s="80" t="str">
        <x:f>IF(A235="","",J235*Config!$B$8)</x:f>
      </x:c>
      <x:c r="L235" s="80" t="str">
        <x:f>IF(A235="","",H235-I235-K235)</x:f>
      </x:c>
      <x:c r="M235" s="77"/>
      <x:c r="N235" s="77"/>
      <x:c r="O235" s="77"/>
      <x:c r="P235" s="77"/>
    </x:row>
    <x:row r="236">
      <x:c r="A236" s="83"/>
      <x:c r="B236" s="77"/>
      <x:c r="C236" s="77"/>
      <x:c r="D236" s="77"/>
      <x:c r="E236" s="80"/>
      <x:c r="F236" s="80"/>
      <x:c r="G236" s="80"/>
      <x:c r="H236" s="80" t="str">
        <x:f>IF(A236="","",SUM(E236:G236))</x:f>
      </x:c>
      <x:c r="I236" s="80"/>
      <x:c r="J236" s="77"/>
      <x:c r="K236" s="80" t="str">
        <x:f>IF(A236="","",J236*Config!$B$8)</x:f>
      </x:c>
      <x:c r="L236" s="80" t="str">
        <x:f>IF(A236="","",H236-I236-K236)</x:f>
      </x:c>
      <x:c r="M236" s="77"/>
      <x:c r="N236" s="77"/>
      <x:c r="O236" s="77"/>
      <x:c r="P236" s="77"/>
    </x:row>
    <x:row r="237">
      <x:c r="A237" s="83"/>
      <x:c r="B237" s="77"/>
      <x:c r="C237" s="77"/>
      <x:c r="D237" s="77"/>
      <x:c r="E237" s="80"/>
      <x:c r="F237" s="80"/>
      <x:c r="G237" s="80"/>
      <x:c r="H237" s="80" t="str">
        <x:f>IF(A237="","",SUM(E237:G237))</x:f>
      </x:c>
      <x:c r="I237" s="80"/>
      <x:c r="J237" s="77"/>
      <x:c r="K237" s="80" t="str">
        <x:f>IF(A237="","",J237*Config!$B$8)</x:f>
      </x:c>
      <x:c r="L237" s="80" t="str">
        <x:f>IF(A237="","",H237-I237-K237)</x:f>
      </x:c>
      <x:c r="M237" s="77"/>
      <x:c r="N237" s="77"/>
      <x:c r="O237" s="77"/>
      <x:c r="P237" s="77"/>
    </x:row>
    <x:row r="238">
      <x:c r="A238" s="83"/>
      <x:c r="B238" s="77"/>
      <x:c r="C238" s="77"/>
      <x:c r="D238" s="77"/>
      <x:c r="E238" s="80"/>
      <x:c r="F238" s="80"/>
      <x:c r="G238" s="80"/>
      <x:c r="H238" s="80" t="str">
        <x:f>IF(A238="","",SUM(E238:G238))</x:f>
      </x:c>
      <x:c r="I238" s="80"/>
      <x:c r="J238" s="77"/>
      <x:c r="K238" s="80" t="str">
        <x:f>IF(A238="","",J238*Config!$B$8)</x:f>
      </x:c>
      <x:c r="L238" s="80" t="str">
        <x:f>IF(A238="","",H238-I238-K238)</x:f>
      </x:c>
      <x:c r="M238" s="77"/>
      <x:c r="N238" s="77"/>
      <x:c r="O238" s="77"/>
      <x:c r="P238" s="77"/>
    </x:row>
    <x:row r="239">
      <x:c r="A239" s="83"/>
      <x:c r="B239" s="77"/>
      <x:c r="C239" s="77"/>
      <x:c r="D239" s="77"/>
      <x:c r="E239" s="80"/>
      <x:c r="F239" s="80"/>
      <x:c r="G239" s="80"/>
      <x:c r="H239" s="80" t="str">
        <x:f>IF(A239="","",SUM(E239:G239))</x:f>
      </x:c>
      <x:c r="I239" s="80"/>
      <x:c r="J239" s="77"/>
      <x:c r="K239" s="80" t="str">
        <x:f>IF(A239="","",J239*Config!$B$8)</x:f>
      </x:c>
      <x:c r="L239" s="80" t="str">
        <x:f>IF(A239="","",H239-I239-K239)</x:f>
      </x:c>
      <x:c r="M239" s="77"/>
      <x:c r="N239" s="77"/>
      <x:c r="O239" s="77"/>
      <x:c r="P239" s="77"/>
    </x:row>
    <x:row r="240">
      <x:c r="A240" s="83"/>
      <x:c r="B240" s="77"/>
      <x:c r="C240" s="77"/>
      <x:c r="D240" s="77"/>
      <x:c r="E240" s="80"/>
      <x:c r="F240" s="80"/>
      <x:c r="G240" s="80"/>
      <x:c r="H240" s="80" t="str">
        <x:f>IF(A240="","",SUM(E240:G240))</x:f>
      </x:c>
      <x:c r="I240" s="80"/>
      <x:c r="J240" s="77"/>
      <x:c r="K240" s="80" t="str">
        <x:f>IF(A240="","",J240*Config!$B$8)</x:f>
      </x:c>
      <x:c r="L240" s="80" t="str">
        <x:f>IF(A240="","",H240-I240-K240)</x:f>
      </x:c>
      <x:c r="M240" s="77"/>
      <x:c r="N240" s="77"/>
      <x:c r="O240" s="77"/>
      <x:c r="P240" s="77"/>
    </x:row>
    <x:row r="241">
      <x:c r="A241" s="83"/>
      <x:c r="B241" s="77"/>
      <x:c r="C241" s="77"/>
      <x:c r="D241" s="77"/>
      <x:c r="E241" s="80"/>
      <x:c r="F241" s="80"/>
      <x:c r="G241" s="80"/>
      <x:c r="H241" s="80" t="str">
        <x:f>IF(A241="","",SUM(E241:G241))</x:f>
      </x:c>
      <x:c r="I241" s="80"/>
      <x:c r="J241" s="77"/>
      <x:c r="K241" s="80" t="str">
        <x:f>IF(A241="","",J241*Config!$B$8)</x:f>
      </x:c>
      <x:c r="L241" s="80" t="str">
        <x:f>IF(A241="","",H241-I241-K241)</x:f>
      </x:c>
      <x:c r="M241" s="77"/>
      <x:c r="N241" s="77"/>
      <x:c r="O241" s="77"/>
      <x:c r="P241" s="77"/>
    </x:row>
    <x:row r="242">
      <x:c r="A242" s="83"/>
      <x:c r="B242" s="77"/>
      <x:c r="C242" s="77"/>
      <x:c r="D242" s="77"/>
      <x:c r="E242" s="80"/>
      <x:c r="F242" s="80"/>
      <x:c r="G242" s="80"/>
      <x:c r="H242" s="80" t="str">
        <x:f>IF(A242="","",SUM(E242:G242))</x:f>
      </x:c>
      <x:c r="I242" s="80"/>
      <x:c r="J242" s="77"/>
      <x:c r="K242" s="80" t="str">
        <x:f>IF(A242="","",J242*Config!$B$8)</x:f>
      </x:c>
      <x:c r="L242" s="80" t="str">
        <x:f>IF(A242="","",H242-I242-K242)</x:f>
      </x:c>
      <x:c r="M242" s="77"/>
      <x:c r="N242" s="77"/>
      <x:c r="O242" s="77"/>
      <x:c r="P242" s="77"/>
    </x:row>
    <x:row r="243">
      <x:c r="A243" s="83"/>
      <x:c r="B243" s="77"/>
      <x:c r="C243" s="77"/>
      <x:c r="D243" s="77"/>
      <x:c r="E243" s="80"/>
      <x:c r="F243" s="80"/>
      <x:c r="G243" s="80"/>
      <x:c r="H243" s="80" t="str">
        <x:f>IF(A243="","",SUM(E243:G243))</x:f>
      </x:c>
      <x:c r="I243" s="80"/>
      <x:c r="J243" s="77"/>
      <x:c r="K243" s="80" t="str">
        <x:f>IF(A243="","",J243*Config!$B$8)</x:f>
      </x:c>
      <x:c r="L243" s="80" t="str">
        <x:f>IF(A243="","",H243-I243-K243)</x:f>
      </x:c>
      <x:c r="M243" s="77"/>
      <x:c r="N243" s="77"/>
      <x:c r="O243" s="77"/>
      <x:c r="P243" s="77"/>
    </x:row>
    <x:row r="244">
      <x:c r="A244" s="83"/>
      <x:c r="B244" s="77"/>
      <x:c r="C244" s="77"/>
      <x:c r="D244" s="77"/>
      <x:c r="E244" s="80"/>
      <x:c r="F244" s="80"/>
      <x:c r="G244" s="80"/>
      <x:c r="H244" s="80" t="str">
        <x:f>IF(A244="","",SUM(E244:G244))</x:f>
      </x:c>
      <x:c r="I244" s="80"/>
      <x:c r="J244" s="77"/>
      <x:c r="K244" s="80" t="str">
        <x:f>IF(A244="","",J244*Config!$B$8)</x:f>
      </x:c>
      <x:c r="L244" s="80" t="str">
        <x:f>IF(A244="","",H244-I244-K244)</x:f>
      </x:c>
      <x:c r="M244" s="77"/>
      <x:c r="N244" s="77"/>
      <x:c r="O244" s="77"/>
      <x:c r="P244" s="77"/>
    </x:row>
    <x:row r="245">
      <x:c r="A245" s="83"/>
      <x:c r="B245" s="77"/>
      <x:c r="C245" s="77"/>
      <x:c r="D245" s="77"/>
      <x:c r="E245" s="80"/>
      <x:c r="F245" s="80"/>
      <x:c r="G245" s="80"/>
      <x:c r="H245" s="80" t="str">
        <x:f>IF(A245="","",SUM(E245:G245))</x:f>
      </x:c>
      <x:c r="I245" s="80"/>
      <x:c r="J245" s="77"/>
      <x:c r="K245" s="80" t="str">
        <x:f>IF(A245="","",J245*Config!$B$8)</x:f>
      </x:c>
      <x:c r="L245" s="80" t="str">
        <x:f>IF(A245="","",H245-I245-K245)</x:f>
      </x:c>
      <x:c r="M245" s="77"/>
      <x:c r="N245" s="77"/>
      <x:c r="O245" s="77"/>
      <x:c r="P245" s="77"/>
    </x:row>
    <x:row r="246">
      <x:c r="A246" s="83"/>
      <x:c r="B246" s="77"/>
      <x:c r="C246" s="77"/>
      <x:c r="D246" s="77"/>
      <x:c r="E246" s="80"/>
      <x:c r="F246" s="80"/>
      <x:c r="G246" s="80"/>
      <x:c r="H246" s="80" t="str">
        <x:f>IF(A246="","",SUM(E246:G246))</x:f>
      </x:c>
      <x:c r="I246" s="80"/>
      <x:c r="J246" s="77"/>
      <x:c r="K246" s="80" t="str">
        <x:f>IF(A246="","",J246*Config!$B$8)</x:f>
      </x:c>
      <x:c r="L246" s="80" t="str">
        <x:f>IF(A246="","",H246-I246-K246)</x:f>
      </x:c>
      <x:c r="M246" s="77"/>
      <x:c r="N246" s="77"/>
      <x:c r="O246" s="77"/>
      <x:c r="P246" s="77"/>
    </x:row>
    <x:row r="247">
      <x:c r="A247" s="83"/>
      <x:c r="B247" s="77"/>
      <x:c r="C247" s="77"/>
      <x:c r="D247" s="77"/>
      <x:c r="E247" s="80"/>
      <x:c r="F247" s="80"/>
      <x:c r="G247" s="80"/>
      <x:c r="H247" s="80" t="str">
        <x:f>IF(A247="","",SUM(E247:G247))</x:f>
      </x:c>
      <x:c r="I247" s="80"/>
      <x:c r="J247" s="77"/>
      <x:c r="K247" s="80" t="str">
        <x:f>IF(A247="","",J247*Config!$B$8)</x:f>
      </x:c>
      <x:c r="L247" s="80" t="str">
        <x:f>IF(A247="","",H247-I247-K247)</x:f>
      </x:c>
      <x:c r="M247" s="77"/>
      <x:c r="N247" s="77"/>
      <x:c r="O247" s="77"/>
      <x:c r="P247" s="77"/>
    </x:row>
    <x:row r="248">
      <x:c r="A248" s="83"/>
      <x:c r="B248" s="77"/>
      <x:c r="C248" s="77"/>
      <x:c r="D248" s="77"/>
      <x:c r="E248" s="80"/>
      <x:c r="F248" s="80"/>
      <x:c r="G248" s="80"/>
      <x:c r="H248" s="80" t="str">
        <x:f>IF(A248="","",SUM(E248:G248))</x:f>
      </x:c>
      <x:c r="I248" s="80"/>
      <x:c r="J248" s="77"/>
      <x:c r="K248" s="80" t="str">
        <x:f>IF(A248="","",J248*Config!$B$8)</x:f>
      </x:c>
      <x:c r="L248" s="80" t="str">
        <x:f>IF(A248="","",H248-I248-K248)</x:f>
      </x:c>
      <x:c r="M248" s="77"/>
      <x:c r="N248" s="77"/>
      <x:c r="O248" s="77"/>
      <x:c r="P248" s="77"/>
    </x:row>
    <x:row r="249">
      <x:c r="A249" s="83"/>
      <x:c r="B249" s="77"/>
      <x:c r="C249" s="77"/>
      <x:c r="D249" s="77"/>
      <x:c r="E249" s="80"/>
      <x:c r="F249" s="80"/>
      <x:c r="G249" s="80"/>
      <x:c r="H249" s="80" t="str">
        <x:f>IF(A249="","",SUM(E249:G249))</x:f>
      </x:c>
      <x:c r="I249" s="80"/>
      <x:c r="J249" s="77"/>
      <x:c r="K249" s="80" t="str">
        <x:f>IF(A249="","",J249*Config!$B$8)</x:f>
      </x:c>
      <x:c r="L249" s="80" t="str">
        <x:f>IF(A249="","",H249-I249-K249)</x:f>
      </x:c>
      <x:c r="M249" s="77"/>
      <x:c r="N249" s="77"/>
      <x:c r="O249" s="77"/>
      <x:c r="P249" s="77"/>
    </x:row>
    <x:row r="250">
      <x:c r="A250" s="83"/>
      <x:c r="B250" s="77"/>
      <x:c r="C250" s="77"/>
      <x:c r="D250" s="77"/>
      <x:c r="E250" s="80"/>
      <x:c r="F250" s="80"/>
      <x:c r="G250" s="80"/>
      <x:c r="H250" s="80" t="str">
        <x:f>IF(A250="","",SUM(E250:G250))</x:f>
      </x:c>
      <x:c r="I250" s="80"/>
      <x:c r="J250" s="77"/>
      <x:c r="K250" s="80" t="str">
        <x:f>IF(A250="","",J250*Config!$B$8)</x:f>
      </x:c>
      <x:c r="L250" s="80" t="str">
        <x:f>IF(A250="","",H250-I250-K250)</x:f>
      </x:c>
      <x:c r="M250" s="77"/>
      <x:c r="N250" s="77"/>
      <x:c r="O250" s="77"/>
      <x:c r="P250" s="77"/>
    </x:row>
    <x:row r="251">
      <x:c r="A251" s="83"/>
      <x:c r="B251" s="77"/>
      <x:c r="C251" s="77"/>
      <x:c r="D251" s="77"/>
      <x:c r="E251" s="80"/>
      <x:c r="F251" s="80"/>
      <x:c r="G251" s="80"/>
      <x:c r="H251" s="80" t="str">
        <x:f>IF(A251="","",SUM(E251:G251))</x:f>
      </x:c>
      <x:c r="I251" s="80"/>
      <x:c r="J251" s="77"/>
      <x:c r="K251" s="80" t="str">
        <x:f>IF(A251="","",J251*Config!$B$8)</x:f>
      </x:c>
      <x:c r="L251" s="80" t="str">
        <x:f>IF(A251="","",H251-I251-K251)</x:f>
      </x:c>
      <x:c r="M251" s="77"/>
      <x:c r="N251" s="77"/>
      <x:c r="O251" s="77"/>
      <x:c r="P251" s="77"/>
    </x:row>
    <x:row r="252">
      <x:c r="A252" s="83"/>
      <x:c r="B252" s="77"/>
      <x:c r="C252" s="77"/>
      <x:c r="D252" s="77"/>
      <x:c r="E252" s="80"/>
      <x:c r="F252" s="80"/>
      <x:c r="G252" s="80"/>
      <x:c r="H252" s="80" t="str">
        <x:f>IF(A252="","",SUM(E252:G252))</x:f>
      </x:c>
      <x:c r="I252" s="80"/>
      <x:c r="J252" s="77"/>
      <x:c r="K252" s="80" t="str">
        <x:f>IF(A252="","",J252*Config!$B$8)</x:f>
      </x:c>
      <x:c r="L252" s="80" t="str">
        <x:f>IF(A252="","",H252-I252-K252)</x:f>
      </x:c>
      <x:c r="M252" s="77"/>
      <x:c r="N252" s="77"/>
      <x:c r="O252" s="77"/>
      <x:c r="P252" s="77"/>
    </x:row>
    <x:row r="253">
      <x:c r="A253" s="83"/>
      <x:c r="B253" s="77"/>
      <x:c r="C253" s="77"/>
      <x:c r="D253" s="77"/>
      <x:c r="E253" s="80"/>
      <x:c r="F253" s="80"/>
      <x:c r="G253" s="80"/>
      <x:c r="H253" s="80" t="str">
        <x:f>IF(A253="","",SUM(E253:G253))</x:f>
      </x:c>
      <x:c r="I253" s="80"/>
      <x:c r="J253" s="77"/>
      <x:c r="K253" s="80" t="str">
        <x:f>IF(A253="","",J253*Config!$B$8)</x:f>
      </x:c>
      <x:c r="L253" s="80" t="str">
        <x:f>IF(A253="","",H253-I253-K253)</x:f>
      </x:c>
      <x:c r="M253" s="77"/>
      <x:c r="N253" s="77"/>
      <x:c r="O253" s="77"/>
      <x:c r="P253" s="77"/>
    </x:row>
    <x:row r="254">
      <x:c r="A254" s="83"/>
      <x:c r="B254" s="77"/>
      <x:c r="C254" s="77"/>
      <x:c r="D254" s="77"/>
      <x:c r="E254" s="80"/>
      <x:c r="F254" s="80"/>
      <x:c r="G254" s="80"/>
      <x:c r="H254" s="80" t="str">
        <x:f>IF(A254="","",SUM(E254:G254))</x:f>
      </x:c>
      <x:c r="I254" s="80"/>
      <x:c r="J254" s="77"/>
      <x:c r="K254" s="80" t="str">
        <x:f>IF(A254="","",J254*Config!$B$8)</x:f>
      </x:c>
      <x:c r="L254" s="80" t="str">
        <x:f>IF(A254="","",H254-I254-K254)</x:f>
      </x:c>
      <x:c r="M254" s="77"/>
      <x:c r="N254" s="77"/>
      <x:c r="O254" s="77"/>
      <x:c r="P254" s="77"/>
    </x:row>
    <x:row r="255">
      <x:c r="A255" s="83"/>
      <x:c r="B255" s="77"/>
      <x:c r="C255" s="77"/>
      <x:c r="D255" s="77"/>
      <x:c r="E255" s="80"/>
      <x:c r="F255" s="80"/>
      <x:c r="G255" s="80"/>
      <x:c r="H255" s="80" t="str">
        <x:f>IF(A255="","",SUM(E255:G255))</x:f>
      </x:c>
      <x:c r="I255" s="80"/>
      <x:c r="J255" s="77"/>
      <x:c r="K255" s="80" t="str">
        <x:f>IF(A255="","",J255*Config!$B$8)</x:f>
      </x:c>
      <x:c r="L255" s="80" t="str">
        <x:f>IF(A255="","",H255-I255-K255)</x:f>
      </x:c>
      <x:c r="M255" s="77"/>
      <x:c r="N255" s="77"/>
      <x:c r="O255" s="77"/>
      <x:c r="P255" s="77"/>
    </x:row>
    <x:row r="256">
      <x:c r="A256" s="83"/>
      <x:c r="B256" s="77"/>
      <x:c r="C256" s="77"/>
      <x:c r="D256" s="77"/>
      <x:c r="E256" s="80"/>
      <x:c r="F256" s="80"/>
      <x:c r="G256" s="80"/>
      <x:c r="H256" s="80" t="str">
        <x:f>IF(A256="","",SUM(E256:G256))</x:f>
      </x:c>
      <x:c r="I256" s="80"/>
      <x:c r="J256" s="77"/>
      <x:c r="K256" s="80" t="str">
        <x:f>IF(A256="","",J256*Config!$B$8)</x:f>
      </x:c>
      <x:c r="L256" s="80" t="str">
        <x:f>IF(A256="","",H256-I256-K256)</x:f>
      </x:c>
      <x:c r="M256" s="77"/>
      <x:c r="N256" s="77"/>
      <x:c r="O256" s="77"/>
      <x:c r="P256" s="77"/>
    </x:row>
    <x:row r="257">
      <x:c r="A257" s="83"/>
      <x:c r="B257" s="77"/>
      <x:c r="C257" s="77"/>
      <x:c r="D257" s="77"/>
      <x:c r="E257" s="80"/>
      <x:c r="F257" s="80"/>
      <x:c r="G257" s="80"/>
      <x:c r="H257" s="80" t="str">
        <x:f>IF(A257="","",SUM(E257:G257))</x:f>
      </x:c>
      <x:c r="I257" s="80"/>
      <x:c r="J257" s="77"/>
      <x:c r="K257" s="80" t="str">
        <x:f>IF(A257="","",J257*Config!$B$8)</x:f>
      </x:c>
      <x:c r="L257" s="80" t="str">
        <x:f>IF(A257="","",H257-I257-K257)</x:f>
      </x:c>
      <x:c r="M257" s="77"/>
      <x:c r="N257" s="77"/>
      <x:c r="O257" s="77"/>
      <x:c r="P257" s="77"/>
    </x:row>
    <x:row r="258">
      <x:c r="A258" s="83"/>
      <x:c r="B258" s="77"/>
      <x:c r="C258" s="77"/>
      <x:c r="D258" s="77"/>
      <x:c r="E258" s="80"/>
      <x:c r="F258" s="80"/>
      <x:c r="G258" s="80"/>
      <x:c r="H258" s="80" t="str">
        <x:f>IF(A258="","",SUM(E258:G258))</x:f>
      </x:c>
      <x:c r="I258" s="80"/>
      <x:c r="J258" s="77"/>
      <x:c r="K258" s="80" t="str">
        <x:f>IF(A258="","",J258*Config!$B$8)</x:f>
      </x:c>
      <x:c r="L258" s="80" t="str">
        <x:f>IF(A258="","",H258-I258-K258)</x:f>
      </x:c>
      <x:c r="M258" s="77"/>
      <x:c r="N258" s="77"/>
      <x:c r="O258" s="77"/>
      <x:c r="P258" s="77"/>
    </x:row>
    <x:row r="259">
      <x:c r="A259" s="83"/>
      <x:c r="B259" s="77"/>
      <x:c r="C259" s="77"/>
      <x:c r="D259" s="77"/>
      <x:c r="E259" s="80"/>
      <x:c r="F259" s="80"/>
      <x:c r="G259" s="80"/>
      <x:c r="H259" s="80" t="str">
        <x:f>IF(A259="","",SUM(E259:G259))</x:f>
      </x:c>
      <x:c r="I259" s="80"/>
      <x:c r="J259" s="77"/>
      <x:c r="K259" s="80" t="str">
        <x:f>IF(A259="","",J259*Config!$B$8)</x:f>
      </x:c>
      <x:c r="L259" s="80" t="str">
        <x:f>IF(A259="","",H259-I259-K259)</x:f>
      </x:c>
      <x:c r="M259" s="77"/>
      <x:c r="N259" s="77"/>
      <x:c r="O259" s="77"/>
      <x:c r="P259" s="77"/>
    </x:row>
    <x:row r="260">
      <x:c r="A260" s="83"/>
      <x:c r="B260" s="77"/>
      <x:c r="C260" s="77"/>
      <x:c r="D260" s="77"/>
      <x:c r="E260" s="80"/>
      <x:c r="F260" s="80"/>
      <x:c r="G260" s="80"/>
      <x:c r="H260" s="80" t="str">
        <x:f>IF(A260="","",SUM(E260:G260))</x:f>
      </x:c>
      <x:c r="I260" s="80"/>
      <x:c r="J260" s="77"/>
      <x:c r="K260" s="80" t="str">
        <x:f>IF(A260="","",J260*Config!$B$8)</x:f>
      </x:c>
      <x:c r="L260" s="80" t="str">
        <x:f>IF(A260="","",H260-I260-K260)</x:f>
      </x:c>
      <x:c r="M260" s="77"/>
      <x:c r="N260" s="77"/>
      <x:c r="O260" s="77"/>
      <x:c r="P260" s="77"/>
    </x:row>
    <x:row r="261">
      <x:c r="A261" s="83"/>
      <x:c r="B261" s="77"/>
      <x:c r="C261" s="77"/>
      <x:c r="D261" s="77"/>
      <x:c r="E261" s="80"/>
      <x:c r="F261" s="80"/>
      <x:c r="G261" s="80"/>
      <x:c r="H261" s="80" t="str">
        <x:f>IF(A261="","",SUM(E261:G261))</x:f>
      </x:c>
      <x:c r="I261" s="80"/>
      <x:c r="J261" s="77"/>
      <x:c r="K261" s="80" t="str">
        <x:f>IF(A261="","",J261*Config!$B$8)</x:f>
      </x:c>
      <x:c r="L261" s="80" t="str">
        <x:f>IF(A261="","",H261-I261-K261)</x:f>
      </x:c>
      <x:c r="M261" s="77"/>
      <x:c r="N261" s="77"/>
      <x:c r="O261" s="77"/>
      <x:c r="P261" s="77"/>
    </x:row>
    <x:row r="262">
      <x:c r="A262" s="83"/>
      <x:c r="B262" s="77"/>
      <x:c r="C262" s="77"/>
      <x:c r="D262" s="77"/>
      <x:c r="E262" s="80"/>
      <x:c r="F262" s="80"/>
      <x:c r="G262" s="80"/>
      <x:c r="H262" s="80" t="str">
        <x:f>IF(A262="","",SUM(E262:G262))</x:f>
      </x:c>
      <x:c r="I262" s="80"/>
      <x:c r="J262" s="77"/>
      <x:c r="K262" s="80" t="str">
        <x:f>IF(A262="","",J262*Config!$B$8)</x:f>
      </x:c>
      <x:c r="L262" s="80" t="str">
        <x:f>IF(A262="","",H262-I262-K262)</x:f>
      </x:c>
      <x:c r="M262" s="77"/>
      <x:c r="N262" s="77"/>
      <x:c r="O262" s="77"/>
      <x:c r="P262" s="77"/>
    </x:row>
    <x:row r="263">
      <x:c r="A263" s="83"/>
      <x:c r="B263" s="77"/>
      <x:c r="C263" s="77"/>
      <x:c r="D263" s="77"/>
      <x:c r="E263" s="80"/>
      <x:c r="F263" s="80"/>
      <x:c r="G263" s="80"/>
      <x:c r="H263" s="80" t="str">
        <x:f>IF(A263="","",SUM(E263:G263))</x:f>
      </x:c>
      <x:c r="I263" s="80"/>
      <x:c r="J263" s="77"/>
      <x:c r="K263" s="80" t="str">
        <x:f>IF(A263="","",J263*Config!$B$8)</x:f>
      </x:c>
      <x:c r="L263" s="80" t="str">
        <x:f>IF(A263="","",H263-I263-K263)</x:f>
      </x:c>
      <x:c r="M263" s="77"/>
      <x:c r="N263" s="77"/>
      <x:c r="O263" s="77"/>
      <x:c r="P263" s="77"/>
    </x:row>
    <x:row r="264">
      <x:c r="A264" s="83"/>
      <x:c r="B264" s="77"/>
      <x:c r="C264" s="77"/>
      <x:c r="D264" s="77"/>
      <x:c r="E264" s="80"/>
      <x:c r="F264" s="80"/>
      <x:c r="G264" s="80"/>
      <x:c r="H264" s="80" t="str">
        <x:f>IF(A264="","",SUM(E264:G264))</x:f>
      </x:c>
      <x:c r="I264" s="80"/>
      <x:c r="J264" s="77"/>
      <x:c r="K264" s="80" t="str">
        <x:f>IF(A264="","",J264*Config!$B$8)</x:f>
      </x:c>
      <x:c r="L264" s="80" t="str">
        <x:f>IF(A264="","",H264-I264-K264)</x:f>
      </x:c>
      <x:c r="M264" s="77"/>
      <x:c r="N264" s="77"/>
      <x:c r="O264" s="77"/>
      <x:c r="P264" s="77"/>
    </x:row>
    <x:row r="265">
      <x:c r="A265" s="83"/>
      <x:c r="B265" s="77"/>
      <x:c r="C265" s="77"/>
      <x:c r="D265" s="77"/>
      <x:c r="E265" s="80"/>
      <x:c r="F265" s="80"/>
      <x:c r="G265" s="80"/>
      <x:c r="H265" s="80" t="str">
        <x:f>IF(A265="","",SUM(E265:G265))</x:f>
      </x:c>
      <x:c r="I265" s="80"/>
      <x:c r="J265" s="77"/>
      <x:c r="K265" s="80" t="str">
        <x:f>IF(A265="","",J265*Config!$B$8)</x:f>
      </x:c>
      <x:c r="L265" s="80" t="str">
        <x:f>IF(A265="","",H265-I265-K265)</x:f>
      </x:c>
      <x:c r="M265" s="77"/>
      <x:c r="N265" s="77"/>
      <x:c r="O265" s="77"/>
      <x:c r="P265" s="77"/>
    </x:row>
    <x:row r="266">
      <x:c r="A266" s="83"/>
      <x:c r="B266" s="77"/>
      <x:c r="C266" s="77"/>
      <x:c r="D266" s="77"/>
      <x:c r="E266" s="80"/>
      <x:c r="F266" s="80"/>
      <x:c r="G266" s="80"/>
      <x:c r="H266" s="80" t="str">
        <x:f>IF(A266="","",SUM(E266:G266))</x:f>
      </x:c>
      <x:c r="I266" s="80"/>
      <x:c r="J266" s="77"/>
      <x:c r="K266" s="80" t="str">
        <x:f>IF(A266="","",J266*Config!$B$8)</x:f>
      </x:c>
      <x:c r="L266" s="80" t="str">
        <x:f>IF(A266="","",H266-I266-K266)</x:f>
      </x:c>
      <x:c r="M266" s="77"/>
      <x:c r="N266" s="77"/>
      <x:c r="O266" s="77"/>
      <x:c r="P266" s="77"/>
    </x:row>
    <x:row r="267">
      <x:c r="A267" s="83"/>
      <x:c r="B267" s="77"/>
      <x:c r="C267" s="77"/>
      <x:c r="D267" s="77"/>
      <x:c r="E267" s="80"/>
      <x:c r="F267" s="80"/>
      <x:c r="G267" s="80"/>
      <x:c r="H267" s="80" t="str">
        <x:f>IF(A267="","",SUM(E267:G267))</x:f>
      </x:c>
      <x:c r="I267" s="80"/>
      <x:c r="J267" s="77"/>
      <x:c r="K267" s="80" t="str">
        <x:f>IF(A267="","",J267*Config!$B$8)</x:f>
      </x:c>
      <x:c r="L267" s="80" t="str">
        <x:f>IF(A267="","",H267-I267-K267)</x:f>
      </x:c>
      <x:c r="M267" s="77"/>
      <x:c r="N267" s="77"/>
      <x:c r="O267" s="77"/>
      <x:c r="P267" s="77"/>
    </x:row>
    <x:row r="268">
      <x:c r="A268" s="83"/>
      <x:c r="B268" s="77"/>
      <x:c r="C268" s="77"/>
      <x:c r="D268" s="77"/>
      <x:c r="E268" s="80"/>
      <x:c r="F268" s="80"/>
      <x:c r="G268" s="80"/>
      <x:c r="H268" s="80" t="str">
        <x:f>IF(A268="","",SUM(E268:G268))</x:f>
      </x:c>
      <x:c r="I268" s="80"/>
      <x:c r="J268" s="77"/>
      <x:c r="K268" s="80" t="str">
        <x:f>IF(A268="","",J268*Config!$B$8)</x:f>
      </x:c>
      <x:c r="L268" s="80" t="str">
        <x:f>IF(A268="","",H268-I268-K268)</x:f>
      </x:c>
      <x:c r="M268" s="77"/>
      <x:c r="N268" s="77"/>
      <x:c r="O268" s="77"/>
      <x:c r="P268" s="77"/>
    </x:row>
    <x:row r="269">
      <x:c r="A269" s="83"/>
      <x:c r="B269" s="77"/>
      <x:c r="C269" s="77"/>
      <x:c r="D269" s="77"/>
      <x:c r="E269" s="80"/>
      <x:c r="F269" s="80"/>
      <x:c r="G269" s="80"/>
      <x:c r="H269" s="80" t="str">
        <x:f>IF(A269="","",SUM(E269:G269))</x:f>
      </x:c>
      <x:c r="I269" s="80"/>
      <x:c r="J269" s="77"/>
      <x:c r="K269" s="80" t="str">
        <x:f>IF(A269="","",J269*Config!$B$8)</x:f>
      </x:c>
      <x:c r="L269" s="80" t="str">
        <x:f>IF(A269="","",H269-I269-K269)</x:f>
      </x:c>
      <x:c r="M269" s="77"/>
      <x:c r="N269" s="77"/>
      <x:c r="O269" s="77"/>
      <x:c r="P269" s="77"/>
    </x:row>
    <x:row r="270">
      <x:c r="A270" s="83"/>
      <x:c r="B270" s="77"/>
      <x:c r="C270" s="77"/>
      <x:c r="D270" s="77"/>
      <x:c r="E270" s="80"/>
      <x:c r="F270" s="80"/>
      <x:c r="G270" s="80"/>
      <x:c r="H270" s="80" t="str">
        <x:f>IF(A270="","",SUM(E270:G270))</x:f>
      </x:c>
      <x:c r="I270" s="80"/>
      <x:c r="J270" s="77"/>
      <x:c r="K270" s="80" t="str">
        <x:f>IF(A270="","",J270*Config!$B$8)</x:f>
      </x:c>
      <x:c r="L270" s="80" t="str">
        <x:f>IF(A270="","",H270-I270-K270)</x:f>
      </x:c>
      <x:c r="M270" s="77"/>
      <x:c r="N270" s="77"/>
      <x:c r="O270" s="77"/>
      <x:c r="P270" s="77"/>
    </x:row>
    <x:row r="271">
      <x:c r="A271" s="83"/>
      <x:c r="B271" s="77"/>
      <x:c r="C271" s="77"/>
      <x:c r="D271" s="77"/>
      <x:c r="E271" s="80"/>
      <x:c r="F271" s="80"/>
      <x:c r="G271" s="80"/>
      <x:c r="H271" s="80" t="str">
        <x:f>IF(A271="","",SUM(E271:G271))</x:f>
      </x:c>
      <x:c r="I271" s="80"/>
      <x:c r="J271" s="77"/>
      <x:c r="K271" s="80" t="str">
        <x:f>IF(A271="","",J271*Config!$B$8)</x:f>
      </x:c>
      <x:c r="L271" s="80" t="str">
        <x:f>IF(A271="","",H271-I271-K271)</x:f>
      </x:c>
      <x:c r="M271" s="77"/>
      <x:c r="N271" s="77"/>
      <x:c r="O271" s="77"/>
      <x:c r="P271" s="77"/>
    </x:row>
    <x:row r="272">
      <x:c r="A272" s="83"/>
      <x:c r="B272" s="77"/>
      <x:c r="C272" s="77"/>
      <x:c r="D272" s="77"/>
      <x:c r="E272" s="80"/>
      <x:c r="F272" s="80"/>
      <x:c r="G272" s="80"/>
      <x:c r="H272" s="80" t="str">
        <x:f>IF(A272="","",SUM(E272:G272))</x:f>
      </x:c>
      <x:c r="I272" s="80"/>
      <x:c r="J272" s="77"/>
      <x:c r="K272" s="80" t="str">
        <x:f>IF(A272="","",J272*Config!$B$8)</x:f>
      </x:c>
      <x:c r="L272" s="80" t="str">
        <x:f>IF(A272="","",H272-I272-K272)</x:f>
      </x:c>
      <x:c r="M272" s="77"/>
      <x:c r="N272" s="77"/>
      <x:c r="O272" s="77"/>
      <x:c r="P272" s="77"/>
    </x:row>
    <x:row r="273">
      <x:c r="A273" s="83"/>
      <x:c r="B273" s="77"/>
      <x:c r="C273" s="77"/>
      <x:c r="D273" s="77"/>
      <x:c r="E273" s="80"/>
      <x:c r="F273" s="80"/>
      <x:c r="G273" s="80"/>
      <x:c r="H273" s="80" t="str">
        <x:f>IF(A273="","",SUM(E273:G273))</x:f>
      </x:c>
      <x:c r="I273" s="80"/>
      <x:c r="J273" s="77"/>
      <x:c r="K273" s="80" t="str">
        <x:f>IF(A273="","",J273*Config!$B$8)</x:f>
      </x:c>
      <x:c r="L273" s="80" t="str">
        <x:f>IF(A273="","",H273-I273-K273)</x:f>
      </x:c>
      <x:c r="M273" s="77"/>
      <x:c r="N273" s="77"/>
      <x:c r="O273" s="77"/>
      <x:c r="P273" s="77"/>
    </x:row>
    <x:row r="274">
      <x:c r="A274" s="83"/>
      <x:c r="B274" s="77"/>
      <x:c r="C274" s="77"/>
      <x:c r="D274" s="77"/>
      <x:c r="E274" s="80"/>
      <x:c r="F274" s="80"/>
      <x:c r="G274" s="80"/>
      <x:c r="H274" s="80" t="str">
        <x:f>IF(A274="","",SUM(E274:G274))</x:f>
      </x:c>
      <x:c r="I274" s="80"/>
      <x:c r="J274" s="77"/>
      <x:c r="K274" s="80" t="str">
        <x:f>IF(A274="","",J274*Config!$B$8)</x:f>
      </x:c>
      <x:c r="L274" s="80" t="str">
        <x:f>IF(A274="","",H274-I274-K274)</x:f>
      </x:c>
      <x:c r="M274" s="77"/>
      <x:c r="N274" s="77"/>
      <x:c r="O274" s="77"/>
      <x:c r="P274" s="77"/>
    </x:row>
    <x:row r="275">
      <x:c r="A275" s="83"/>
      <x:c r="B275" s="77"/>
      <x:c r="C275" s="77"/>
      <x:c r="D275" s="77"/>
      <x:c r="E275" s="80"/>
      <x:c r="F275" s="80"/>
      <x:c r="G275" s="80"/>
      <x:c r="H275" s="80" t="str">
        <x:f>IF(A275="","",SUM(E275:G275))</x:f>
      </x:c>
      <x:c r="I275" s="80"/>
      <x:c r="J275" s="77"/>
      <x:c r="K275" s="80" t="str">
        <x:f>IF(A275="","",J275*Config!$B$8)</x:f>
      </x:c>
      <x:c r="L275" s="80" t="str">
        <x:f>IF(A275="","",H275-I275-K275)</x:f>
      </x:c>
      <x:c r="M275" s="77"/>
      <x:c r="N275" s="77"/>
      <x:c r="O275" s="77"/>
      <x:c r="P275" s="77"/>
    </x:row>
    <x:row r="276">
      <x:c r="A276" s="83"/>
      <x:c r="B276" s="77"/>
      <x:c r="C276" s="77"/>
      <x:c r="D276" s="77"/>
      <x:c r="E276" s="80"/>
      <x:c r="F276" s="80"/>
      <x:c r="G276" s="80"/>
      <x:c r="H276" s="80" t="str">
        <x:f>IF(A276="","",SUM(E276:G276))</x:f>
      </x:c>
      <x:c r="I276" s="80"/>
      <x:c r="J276" s="77"/>
      <x:c r="K276" s="80" t="str">
        <x:f>IF(A276="","",J276*Config!$B$8)</x:f>
      </x:c>
      <x:c r="L276" s="80" t="str">
        <x:f>IF(A276="","",H276-I276-K276)</x:f>
      </x:c>
      <x:c r="M276" s="77"/>
      <x:c r="N276" s="77"/>
      <x:c r="O276" s="77"/>
      <x:c r="P276" s="77"/>
    </x:row>
    <x:row r="277">
      <x:c r="A277" s="83"/>
      <x:c r="B277" s="77"/>
      <x:c r="C277" s="77"/>
      <x:c r="D277" s="77"/>
      <x:c r="E277" s="80"/>
      <x:c r="F277" s="80"/>
      <x:c r="G277" s="80"/>
      <x:c r="H277" s="80" t="str">
        <x:f>IF(A277="","",SUM(E277:G277))</x:f>
      </x:c>
      <x:c r="I277" s="80"/>
      <x:c r="J277" s="77"/>
      <x:c r="K277" s="80" t="str">
        <x:f>IF(A277="","",J277*Config!$B$8)</x:f>
      </x:c>
      <x:c r="L277" s="80" t="str">
        <x:f>IF(A277="","",H277-I277-K277)</x:f>
      </x:c>
      <x:c r="M277" s="77"/>
      <x:c r="N277" s="77"/>
      <x:c r="O277" s="77"/>
      <x:c r="P277" s="77"/>
    </x:row>
    <x:row r="278">
      <x:c r="A278" s="83"/>
      <x:c r="B278" s="77"/>
      <x:c r="C278" s="77"/>
      <x:c r="D278" s="77"/>
      <x:c r="E278" s="80"/>
      <x:c r="F278" s="80"/>
      <x:c r="G278" s="80"/>
      <x:c r="H278" s="80" t="str">
        <x:f>IF(A278="","",SUM(E278:G278))</x:f>
      </x:c>
      <x:c r="I278" s="80"/>
      <x:c r="J278" s="77"/>
      <x:c r="K278" s="80" t="str">
        <x:f>IF(A278="","",J278*Config!$B$8)</x:f>
      </x:c>
      <x:c r="L278" s="80" t="str">
        <x:f>IF(A278="","",H278-I278-K278)</x:f>
      </x:c>
      <x:c r="M278" s="77"/>
      <x:c r="N278" s="77"/>
      <x:c r="O278" s="77"/>
      <x:c r="P278" s="77"/>
    </x:row>
    <x:row r="279">
      <x:c r="A279" s="83"/>
      <x:c r="B279" s="77"/>
      <x:c r="C279" s="77"/>
      <x:c r="D279" s="77"/>
      <x:c r="E279" s="80"/>
      <x:c r="F279" s="80"/>
      <x:c r="G279" s="80"/>
      <x:c r="H279" s="80" t="str">
        <x:f>IF(A279="","",SUM(E279:G279))</x:f>
      </x:c>
      <x:c r="I279" s="80"/>
      <x:c r="J279" s="77"/>
      <x:c r="K279" s="80" t="str">
        <x:f>IF(A279="","",J279*Config!$B$8)</x:f>
      </x:c>
      <x:c r="L279" s="80" t="str">
        <x:f>IF(A279="","",H279-I279-K279)</x:f>
      </x:c>
      <x:c r="M279" s="77"/>
      <x:c r="N279" s="77"/>
      <x:c r="O279" s="77"/>
      <x:c r="P279" s="77"/>
    </x:row>
    <x:row r="280">
      <x:c r="A280" s="83"/>
      <x:c r="B280" s="77"/>
      <x:c r="C280" s="77"/>
      <x:c r="D280" s="77"/>
      <x:c r="E280" s="80"/>
      <x:c r="F280" s="80"/>
      <x:c r="G280" s="80"/>
      <x:c r="H280" s="80" t="str">
        <x:f>IF(A280="","",SUM(E280:G280))</x:f>
      </x:c>
      <x:c r="I280" s="80"/>
      <x:c r="J280" s="77"/>
      <x:c r="K280" s="80" t="str">
        <x:f>IF(A280="","",J280*Config!$B$8)</x:f>
      </x:c>
      <x:c r="L280" s="80" t="str">
        <x:f>IF(A280="","",H280-I280-K280)</x:f>
      </x:c>
      <x:c r="M280" s="77"/>
      <x:c r="N280" s="77"/>
      <x:c r="O280" s="77"/>
      <x:c r="P280" s="77"/>
    </x:row>
    <x:row r="281">
      <x:c r="A281" s="83"/>
      <x:c r="B281" s="77"/>
      <x:c r="C281" s="77"/>
      <x:c r="D281" s="77"/>
      <x:c r="E281" s="80"/>
      <x:c r="F281" s="80"/>
      <x:c r="G281" s="80"/>
      <x:c r="H281" s="80" t="str">
        <x:f>IF(A281="","",SUM(E281:G281))</x:f>
      </x:c>
      <x:c r="I281" s="80"/>
      <x:c r="J281" s="77"/>
      <x:c r="K281" s="80" t="str">
        <x:f>IF(A281="","",J281*Config!$B$8)</x:f>
      </x:c>
      <x:c r="L281" s="80" t="str">
        <x:f>IF(A281="","",H281-I281-K281)</x:f>
      </x:c>
      <x:c r="M281" s="77"/>
      <x:c r="N281" s="77"/>
      <x:c r="O281" s="77"/>
      <x:c r="P281" s="77"/>
    </x:row>
    <x:row r="282">
      <x:c r="A282" s="83"/>
      <x:c r="B282" s="77"/>
      <x:c r="C282" s="77"/>
      <x:c r="D282" s="77"/>
      <x:c r="E282" s="80"/>
      <x:c r="F282" s="80"/>
      <x:c r="G282" s="80"/>
      <x:c r="H282" s="80" t="str">
        <x:f>IF(A282="","",SUM(E282:G282))</x:f>
      </x:c>
      <x:c r="I282" s="80"/>
      <x:c r="J282" s="77"/>
      <x:c r="K282" s="80" t="str">
        <x:f>IF(A282="","",J282*Config!$B$8)</x:f>
      </x:c>
      <x:c r="L282" s="80" t="str">
        <x:f>IF(A282="","",H282-I282-K282)</x:f>
      </x:c>
      <x:c r="M282" s="77"/>
      <x:c r="N282" s="77"/>
      <x:c r="O282" s="77"/>
      <x:c r="P282" s="77"/>
    </x:row>
    <x:row r="283">
      <x:c r="A283" s="83"/>
      <x:c r="B283" s="77"/>
      <x:c r="C283" s="77"/>
      <x:c r="D283" s="77"/>
      <x:c r="E283" s="80"/>
      <x:c r="F283" s="80"/>
      <x:c r="G283" s="80"/>
      <x:c r="H283" s="80" t="str">
        <x:f>IF(A283="","",SUM(E283:G283))</x:f>
      </x:c>
      <x:c r="I283" s="80"/>
      <x:c r="J283" s="77"/>
      <x:c r="K283" s="80" t="str">
        <x:f>IF(A283="","",J283*Config!$B$8)</x:f>
      </x:c>
      <x:c r="L283" s="80" t="str">
        <x:f>IF(A283="","",H283-I283-K283)</x:f>
      </x:c>
      <x:c r="M283" s="77"/>
      <x:c r="N283" s="77"/>
      <x:c r="O283" s="77"/>
      <x:c r="P283" s="77"/>
    </x:row>
    <x:row r="284">
      <x:c r="A284" s="83"/>
      <x:c r="B284" s="77"/>
      <x:c r="C284" s="77"/>
      <x:c r="D284" s="77"/>
      <x:c r="E284" s="80"/>
      <x:c r="F284" s="80"/>
      <x:c r="G284" s="80"/>
      <x:c r="H284" s="80" t="str">
        <x:f>IF(A284="","",SUM(E284:G284))</x:f>
      </x:c>
      <x:c r="I284" s="80"/>
      <x:c r="J284" s="77"/>
      <x:c r="K284" s="80" t="str">
        <x:f>IF(A284="","",J284*Config!$B$8)</x:f>
      </x:c>
      <x:c r="L284" s="80" t="str">
        <x:f>IF(A284="","",H284-I284-K284)</x:f>
      </x:c>
      <x:c r="M284" s="77"/>
      <x:c r="N284" s="77"/>
      <x:c r="O284" s="77"/>
      <x:c r="P284" s="77"/>
    </x:row>
    <x:row r="285">
      <x:c r="A285" s="83"/>
      <x:c r="B285" s="77"/>
      <x:c r="C285" s="77"/>
      <x:c r="D285" s="77"/>
      <x:c r="E285" s="80"/>
      <x:c r="F285" s="80"/>
      <x:c r="G285" s="80"/>
      <x:c r="H285" s="80" t="str">
        <x:f>IF(A285="","",SUM(E285:G285))</x:f>
      </x:c>
      <x:c r="I285" s="80"/>
      <x:c r="J285" s="77"/>
      <x:c r="K285" s="80" t="str">
        <x:f>IF(A285="","",J285*Config!$B$8)</x:f>
      </x:c>
      <x:c r="L285" s="80" t="str">
        <x:f>IF(A285="","",H285-I285-K285)</x:f>
      </x:c>
      <x:c r="M285" s="77"/>
      <x:c r="N285" s="77"/>
      <x:c r="O285" s="77"/>
      <x:c r="P285" s="77"/>
    </x:row>
    <x:row r="286">
      <x:c r="A286" s="83"/>
      <x:c r="B286" s="77"/>
      <x:c r="C286" s="77"/>
      <x:c r="D286" s="77"/>
      <x:c r="E286" s="80"/>
      <x:c r="F286" s="80"/>
      <x:c r="G286" s="80"/>
      <x:c r="H286" s="80" t="str">
        <x:f>IF(A286="","",SUM(E286:G286))</x:f>
      </x:c>
      <x:c r="I286" s="80"/>
      <x:c r="J286" s="77"/>
      <x:c r="K286" s="80" t="str">
        <x:f>IF(A286="","",J286*Config!$B$8)</x:f>
      </x:c>
      <x:c r="L286" s="80" t="str">
        <x:f>IF(A286="","",H286-I286-K286)</x:f>
      </x:c>
      <x:c r="M286" s="77"/>
      <x:c r="N286" s="77"/>
      <x:c r="O286" s="77"/>
      <x:c r="P286" s="77"/>
    </x:row>
    <x:row r="287">
      <x:c r="A287" s="83"/>
      <x:c r="B287" s="77"/>
      <x:c r="C287" s="77"/>
      <x:c r="D287" s="77"/>
      <x:c r="E287" s="80"/>
      <x:c r="F287" s="80"/>
      <x:c r="G287" s="80"/>
      <x:c r="H287" s="80" t="str">
        <x:f>IF(A287="","",SUM(E287:G287))</x:f>
      </x:c>
      <x:c r="I287" s="80"/>
      <x:c r="J287" s="77"/>
      <x:c r="K287" s="80" t="str">
        <x:f>IF(A287="","",J287*Config!$B$8)</x:f>
      </x:c>
      <x:c r="L287" s="80" t="str">
        <x:f>IF(A287="","",H287-I287-K287)</x:f>
      </x:c>
      <x:c r="M287" s="77"/>
      <x:c r="N287" s="77"/>
      <x:c r="O287" s="77"/>
      <x:c r="P287" s="77"/>
    </x:row>
    <x:row r="288">
      <x:c r="A288" s="83"/>
      <x:c r="B288" s="77"/>
      <x:c r="C288" s="77"/>
      <x:c r="D288" s="77"/>
      <x:c r="E288" s="80"/>
      <x:c r="F288" s="80"/>
      <x:c r="G288" s="80"/>
      <x:c r="H288" s="80" t="str">
        <x:f>IF(A288="","",SUM(E288:G288))</x:f>
      </x:c>
      <x:c r="I288" s="80"/>
      <x:c r="J288" s="77"/>
      <x:c r="K288" s="80" t="str">
        <x:f>IF(A288="","",J288*Config!$B$8)</x:f>
      </x:c>
      <x:c r="L288" s="80" t="str">
        <x:f>IF(A288="","",H288-I288-K288)</x:f>
      </x:c>
      <x:c r="M288" s="77"/>
      <x:c r="N288" s="77"/>
      <x:c r="O288" s="77"/>
      <x:c r="P288" s="77"/>
    </x:row>
    <x:row r="289">
      <x:c r="A289" s="83"/>
      <x:c r="B289" s="77"/>
      <x:c r="C289" s="77"/>
      <x:c r="D289" s="77"/>
      <x:c r="E289" s="80"/>
      <x:c r="F289" s="80"/>
      <x:c r="G289" s="80"/>
      <x:c r="H289" s="80" t="str">
        <x:f>IF(A289="","",SUM(E289:G289))</x:f>
      </x:c>
      <x:c r="I289" s="80"/>
      <x:c r="J289" s="77"/>
      <x:c r="K289" s="80" t="str">
        <x:f>IF(A289="","",J289*Config!$B$8)</x:f>
      </x:c>
      <x:c r="L289" s="80" t="str">
        <x:f>IF(A289="","",H289-I289-K289)</x:f>
      </x:c>
      <x:c r="M289" s="77"/>
      <x:c r="N289" s="77"/>
      <x:c r="O289" s="77"/>
      <x:c r="P289" s="77"/>
    </x:row>
    <x:row r="290">
      <x:c r="A290" s="83"/>
      <x:c r="B290" s="77"/>
      <x:c r="C290" s="77"/>
      <x:c r="D290" s="77"/>
      <x:c r="E290" s="80"/>
      <x:c r="F290" s="80"/>
      <x:c r="G290" s="80"/>
      <x:c r="H290" s="80" t="str">
        <x:f>IF(A290="","",SUM(E290:G290))</x:f>
      </x:c>
      <x:c r="I290" s="80"/>
      <x:c r="J290" s="77"/>
      <x:c r="K290" s="80" t="str">
        <x:f>IF(A290="","",J290*Config!$B$8)</x:f>
      </x:c>
      <x:c r="L290" s="80" t="str">
        <x:f>IF(A290="","",H290-I290-K290)</x:f>
      </x:c>
      <x:c r="M290" s="77"/>
      <x:c r="N290" s="77"/>
      <x:c r="O290" s="77"/>
      <x:c r="P290" s="77"/>
    </x:row>
    <x:row r="291">
      <x:c r="A291" s="83"/>
      <x:c r="B291" s="77"/>
      <x:c r="C291" s="77"/>
      <x:c r="D291" s="77"/>
      <x:c r="E291" s="80"/>
      <x:c r="F291" s="80"/>
      <x:c r="G291" s="80"/>
      <x:c r="H291" s="80" t="str">
        <x:f>IF(A291="","",SUM(E291:G291))</x:f>
      </x:c>
      <x:c r="I291" s="80"/>
      <x:c r="J291" s="77"/>
      <x:c r="K291" s="80" t="str">
        <x:f>IF(A291="","",J291*Config!$B$8)</x:f>
      </x:c>
      <x:c r="L291" s="80" t="str">
        <x:f>IF(A291="","",H291-I291-K291)</x:f>
      </x:c>
      <x:c r="M291" s="77"/>
      <x:c r="N291" s="77"/>
      <x:c r="O291" s="77"/>
      <x:c r="P291" s="77"/>
    </x:row>
    <x:row r="292">
      <x:c r="A292" s="83"/>
      <x:c r="B292" s="77"/>
      <x:c r="C292" s="77"/>
      <x:c r="D292" s="77"/>
      <x:c r="E292" s="80"/>
      <x:c r="F292" s="80"/>
      <x:c r="G292" s="80"/>
      <x:c r="H292" s="80" t="str">
        <x:f>IF(A292="","",SUM(E292:G292))</x:f>
      </x:c>
      <x:c r="I292" s="80"/>
      <x:c r="J292" s="77"/>
      <x:c r="K292" s="80" t="str">
        <x:f>IF(A292="","",J292*Config!$B$8)</x:f>
      </x:c>
      <x:c r="L292" s="80" t="str">
        <x:f>IF(A292="","",H292-I292-K292)</x:f>
      </x:c>
      <x:c r="M292" s="77"/>
      <x:c r="N292" s="77"/>
      <x:c r="O292" s="77"/>
      <x:c r="P292" s="77"/>
    </x:row>
    <x:row r="293">
      <x:c r="A293" s="83"/>
      <x:c r="B293" s="77"/>
      <x:c r="C293" s="77"/>
      <x:c r="D293" s="77"/>
      <x:c r="E293" s="80"/>
      <x:c r="F293" s="80"/>
      <x:c r="G293" s="80"/>
      <x:c r="H293" s="80" t="str">
        <x:f>IF(A293="","",SUM(E293:G293))</x:f>
      </x:c>
      <x:c r="I293" s="80"/>
      <x:c r="J293" s="77"/>
      <x:c r="K293" s="80" t="str">
        <x:f>IF(A293="","",J293*Config!$B$8)</x:f>
      </x:c>
      <x:c r="L293" s="80" t="str">
        <x:f>IF(A293="","",H293-I293-K293)</x:f>
      </x:c>
      <x:c r="M293" s="77"/>
      <x:c r="N293" s="77"/>
      <x:c r="O293" s="77"/>
      <x:c r="P293" s="77"/>
    </x:row>
    <x:row r="294">
      <x:c r="A294" s="83"/>
      <x:c r="B294" s="77"/>
      <x:c r="C294" s="77"/>
      <x:c r="D294" s="77"/>
      <x:c r="E294" s="80"/>
      <x:c r="F294" s="80"/>
      <x:c r="G294" s="80"/>
      <x:c r="H294" s="80" t="str">
        <x:f>IF(A294="","",SUM(E294:G294))</x:f>
      </x:c>
      <x:c r="I294" s="80"/>
      <x:c r="J294" s="77"/>
      <x:c r="K294" s="80" t="str">
        <x:f>IF(A294="","",J294*Config!$B$8)</x:f>
      </x:c>
      <x:c r="L294" s="80" t="str">
        <x:f>IF(A294="","",H294-I294-K294)</x:f>
      </x:c>
      <x:c r="M294" s="77"/>
      <x:c r="N294" s="77"/>
      <x:c r="O294" s="77"/>
      <x:c r="P294" s="77"/>
    </x:row>
    <x:row r="295">
      <x:c r="A295" s="83"/>
      <x:c r="B295" s="77"/>
      <x:c r="C295" s="77"/>
      <x:c r="D295" s="77"/>
      <x:c r="E295" s="80"/>
      <x:c r="F295" s="80"/>
      <x:c r="G295" s="80"/>
      <x:c r="H295" s="80" t="str">
        <x:f>IF(A295="","",SUM(E295:G295))</x:f>
      </x:c>
      <x:c r="I295" s="80"/>
      <x:c r="J295" s="77"/>
      <x:c r="K295" s="80" t="str">
        <x:f>IF(A295="","",J295*Config!$B$8)</x:f>
      </x:c>
      <x:c r="L295" s="80" t="str">
        <x:f>IF(A295="","",H295-I295-K295)</x:f>
      </x:c>
      <x:c r="M295" s="77"/>
      <x:c r="N295" s="77"/>
      <x:c r="O295" s="77"/>
      <x:c r="P295" s="77"/>
    </x:row>
    <x:row r="296">
      <x:c r="A296" s="83"/>
      <x:c r="B296" s="77"/>
      <x:c r="C296" s="77"/>
      <x:c r="D296" s="77"/>
      <x:c r="E296" s="80"/>
      <x:c r="F296" s="80"/>
      <x:c r="G296" s="80"/>
      <x:c r="H296" s="80" t="str">
        <x:f>IF(A296="","",SUM(E296:G296))</x:f>
      </x:c>
      <x:c r="I296" s="80"/>
      <x:c r="J296" s="77"/>
      <x:c r="K296" s="80" t="str">
        <x:f>IF(A296="","",J296*Config!$B$8)</x:f>
      </x:c>
      <x:c r="L296" s="80" t="str">
        <x:f>IF(A296="","",H296-I296-K296)</x:f>
      </x:c>
      <x:c r="M296" s="77"/>
      <x:c r="N296" s="77"/>
      <x:c r="O296" s="77"/>
      <x:c r="P296" s="77"/>
    </x:row>
    <x:row r="297">
      <x:c r="A297" s="83"/>
      <x:c r="B297" s="77"/>
      <x:c r="C297" s="77"/>
      <x:c r="D297" s="77"/>
      <x:c r="E297" s="80"/>
      <x:c r="F297" s="80"/>
      <x:c r="G297" s="80"/>
      <x:c r="H297" s="80" t="str">
        <x:f>IF(A297="","",SUM(E297:G297))</x:f>
      </x:c>
      <x:c r="I297" s="80"/>
      <x:c r="J297" s="77"/>
      <x:c r="K297" s="80" t="str">
        <x:f>IF(A297="","",J297*Config!$B$8)</x:f>
      </x:c>
      <x:c r="L297" s="80" t="str">
        <x:f>IF(A297="","",H297-I297-K297)</x:f>
      </x:c>
      <x:c r="M297" s="77"/>
      <x:c r="N297" s="77"/>
      <x:c r="O297" s="77"/>
      <x:c r="P297" s="77"/>
    </x:row>
    <x:row r="298">
      <x:c r="A298" s="83"/>
      <x:c r="B298" s="77"/>
      <x:c r="C298" s="77"/>
      <x:c r="D298" s="77"/>
      <x:c r="E298" s="80"/>
      <x:c r="F298" s="80"/>
      <x:c r="G298" s="80"/>
      <x:c r="H298" s="80" t="str">
        <x:f>IF(A298="","",SUM(E298:G298))</x:f>
      </x:c>
      <x:c r="I298" s="80"/>
      <x:c r="J298" s="77"/>
      <x:c r="K298" s="80" t="str">
        <x:f>IF(A298="","",J298*Config!$B$8)</x:f>
      </x:c>
      <x:c r="L298" s="80" t="str">
        <x:f>IF(A298="","",H298-I298-K298)</x:f>
      </x:c>
      <x:c r="M298" s="77"/>
      <x:c r="N298" s="77"/>
      <x:c r="O298" s="77"/>
      <x:c r="P298" s="77"/>
    </x:row>
    <x:row r="299">
      <x:c r="A299" s="83"/>
      <x:c r="B299" s="77"/>
      <x:c r="C299" s="77"/>
      <x:c r="D299" s="77"/>
      <x:c r="E299" s="80"/>
      <x:c r="F299" s="80"/>
      <x:c r="G299" s="80"/>
      <x:c r="H299" s="80" t="str">
        <x:f>IF(A299="","",SUM(E299:G299))</x:f>
      </x:c>
      <x:c r="I299" s="80"/>
      <x:c r="J299" s="77"/>
      <x:c r="K299" s="80" t="str">
        <x:f>IF(A299="","",J299*Config!$B$8)</x:f>
      </x:c>
      <x:c r="L299" s="80" t="str">
        <x:f>IF(A299="","",H299-I299-K299)</x:f>
      </x:c>
      <x:c r="M299" s="77"/>
      <x:c r="N299" s="77"/>
      <x:c r="O299" s="77"/>
      <x:c r="P299" s="77"/>
    </x:row>
    <x:row r="300">
      <x:c r="A300" s="83"/>
      <x:c r="B300" s="77"/>
      <x:c r="C300" s="77"/>
      <x:c r="D300" s="77"/>
      <x:c r="E300" s="80"/>
      <x:c r="F300" s="80"/>
      <x:c r="G300" s="80"/>
      <x:c r="H300" s="80" t="str">
        <x:f>IF(A300="","",SUM(E300:G300))</x:f>
      </x:c>
      <x:c r="I300" s="80"/>
      <x:c r="J300" s="77"/>
      <x:c r="K300" s="80" t="str">
        <x:f>IF(A300="","",J300*Config!$B$8)</x:f>
      </x:c>
      <x:c r="L300" s="80" t="str">
        <x:f>IF(A300="","",H300-I300-K300)</x:f>
      </x:c>
      <x:c r="M300" s="77"/>
      <x:c r="N300" s="77"/>
      <x:c r="O300" s="77"/>
      <x:c r="P300" s="77"/>
    </x:row>
    <x:row r="301">
      <x:c r="A301" s="83"/>
      <x:c r="B301" s="77"/>
      <x:c r="C301" s="77"/>
      <x:c r="D301" s="77"/>
      <x:c r="E301" s="80"/>
      <x:c r="F301" s="80"/>
      <x:c r="G301" s="80"/>
      <x:c r="H301" s="80" t="str">
        <x:f>IF(A301="","",SUM(E301:G301))</x:f>
      </x:c>
      <x:c r="I301" s="80"/>
      <x:c r="J301" s="77"/>
      <x:c r="K301" s="80" t="str">
        <x:f>IF(A301="","",J301*Config!$B$8)</x:f>
      </x:c>
      <x:c r="L301" s="80" t="str">
        <x:f>IF(A301="","",H301-I301-K301)</x:f>
      </x:c>
      <x:c r="M301" s="77"/>
      <x:c r="N301" s="77"/>
      <x:c r="O301" s="77"/>
      <x:c r="P301" s="77"/>
    </x:row>
    <x:row r="302">
      <x:c r="A302" s="83"/>
      <x:c r="B302" s="77"/>
      <x:c r="C302" s="77"/>
      <x:c r="D302" s="77"/>
      <x:c r="E302" s="80"/>
      <x:c r="F302" s="80"/>
      <x:c r="G302" s="80"/>
      <x:c r="H302" s="80" t="str">
        <x:f>IF(A302="","",SUM(E302:G302))</x:f>
      </x:c>
      <x:c r="I302" s="80"/>
      <x:c r="J302" s="77"/>
      <x:c r="K302" s="80" t="str">
        <x:f>IF(A302="","",J302*Config!$B$8)</x:f>
      </x:c>
      <x:c r="L302" s="80" t="str">
        <x:f>IF(A302="","",H302-I302-K302)</x:f>
      </x:c>
      <x:c r="M302" s="77"/>
      <x:c r="N302" s="77"/>
      <x:c r="O302" s="77"/>
      <x:c r="P302" s="77"/>
    </x:row>
    <x:row r="303">
      <x:c r="A303" s="83"/>
      <x:c r="B303" s="77"/>
      <x:c r="C303" s="77"/>
      <x:c r="D303" s="77"/>
      <x:c r="E303" s="80"/>
      <x:c r="F303" s="80"/>
      <x:c r="G303" s="80"/>
      <x:c r="H303" s="80" t="str">
        <x:f>IF(A303="","",SUM(E303:G303))</x:f>
      </x:c>
      <x:c r="I303" s="80"/>
      <x:c r="J303" s="77"/>
      <x:c r="K303" s="80" t="str">
        <x:f>IF(A303="","",J303*Config!$B$8)</x:f>
      </x:c>
      <x:c r="L303" s="80" t="str">
        <x:f>IF(A303="","",H303-I303-K303)</x:f>
      </x:c>
      <x:c r="M303" s="77"/>
      <x:c r="N303" s="77"/>
      <x:c r="O303" s="77"/>
      <x:c r="P303" s="77"/>
    </x:row>
  </x:sheetData>
  <x:mergeCells>
    <x:mergeCell ref="A1:P1"/>
  </x:mergeCells>
  <x:conditionalFormatting sqref="L4:L303">
    <x:cfRule type="dataBar" priority="1">
      <x:dataBar>
        <x:cfvo type="min"/>
        <x:cfvo type="max"/>
        <x:color rgb="FFF57C00"/>
      </x:dataBar>
      <x:extLst>
        <x:ext xmlns:x14="http://schemas.microsoft.com/office/spreadsheetml/2009/9/main" uri="{B025F937-C7B1-47D3-B67F-A62EFF666E3E}">
          <x14:id>{AFEBF1F2-329E-2E6C-BB82-23D84E3556C3}</x14:id>
        </x:ext>
      </x:extLst>
    </x:cfRule>
  </x:conditionalFormatting>
  <x:dataValidations count="4">
    <x:dataValidation type="list" sqref="C4:C303">
      <x:formula1>Config!$F$4:$F$8</x:formula1>
    </x:dataValidation>
    <x:dataValidation type="list" sqref="M4:M303">
      <x:formula1>Config!$F$16:$F$19</x:formula1>
    </x:dataValidation>
    <x:dataValidation type="list" sqref="N4:N303">
      <x:formula1>"Sim,Não"</x:formula1>
    </x:dataValidation>
    <x:dataValidation type="list" sqref="O4:O303">
      <x:formula1>Config!$D$4:$D$13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6b4c6a032746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FEBF1F2-329E-2E6C-BB82-23D84E3556C3}">
            <x14:dataBar gradient="1">
              <x14:cfvo type="min"/>
              <x14:cfvo type="max"/>
              <x14:fillColor rgb="FFF57C00"/>
            </x14:dataBar>
          </x14:cfRule>
          <xm:sqref>L4:L303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28" customHeight="1">
      <x:c r="A1" s="155" t="str">
        <x:v>SOCORRO! O CUCA RESOLVE | Precificação interna</x:v>
      </x:c>
      <x:c r="B1" s="155"/>
      <x:c r="C1" s="155"/>
      <x:c r="D1" s="155"/>
      <x:c r="E1" s="155"/>
      <x:c r="F1" s="155"/>
      <x:c r="G1" s="155"/>
      <x:c r="H1" s="155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</x:row>
    <x:row r="3" ht="24" customHeight="1">
      <x:c r="A3" s="159" t="str">
        <x:v>Categoria</x:v>
      </x:c>
      <x:c r="B3" s="159" t="str">
        <x:v>Serviço</x:v>
      </x:c>
      <x:c r="C3" s="159" t="str">
        <x:v>Tempo estimado (h)</x:v>
      </x:c>
      <x:c r="D3" s="159" t="str">
        <x:v>Fator complexidade</x:v>
      </x:c>
      <x:c r="E3" s="159" t="str">
        <x:v>Base calculada</x:v>
      </x:c>
      <x:c r="F3" s="159" t="str">
        <x:v>Faixa mínima teste</x:v>
      </x:c>
      <x:c r="G3" s="159" t="str">
        <x:v>Faixa máxima teste</x:v>
      </x:c>
      <x:c r="H3" s="159" t="str">
        <x:v>Observação</x:v>
      </x:c>
    </x:row>
    <x:row r="4">
      <x:c r="A4" s="77" t="str">
        <x:v>Elétrica</x:v>
      </x:c>
      <x:c r="B4" s="77" t="str">
        <x:v>Troca simples de tomada ou interruptor</x:v>
      </x:c>
      <x:c r="C4" s="77" t="n">
        <x:v>1</x:v>
      </x:c>
      <x:c r="D4" s="77" t="n">
        <x:v>1</x:v>
      </x:c>
      <x:c r="E4" s="80" t="n">
        <x:f>MAX(Config!$B$5,Config!$B$6*C4*D4)</x:f>
        <x:v>120</x:v>
      </x:c>
      <x:c r="F4" s="80" t="n">
        <x:v>120</x:v>
      </x:c>
      <x:c r="G4" s="80" t="n">
        <x:v>160</x:v>
      </x:c>
      <x:c r="H4" s="77" t="str">
        <x:v>Peças à parte.</x:v>
      </x:c>
    </x:row>
    <x:row r="5">
      <x:c r="A5" s="77" t="str">
        <x:v>Elétrica</x:v>
      </x:c>
      <x:c r="B5" s="77" t="str">
        <x:v>Instalação de luminária simples</x:v>
      </x:c>
      <x:c r="C5" s="77" t="n">
        <x:v>1</x:v>
      </x:c>
      <x:c r="D5" s="77" t="n">
        <x:v>1.15</x:v>
      </x:c>
      <x:c r="E5" s="80" t="n">
        <x:f>MAX(Config!$B$5,Config!$B$6*C5*D5)</x:f>
        <x:v>120</x:v>
      </x:c>
      <x:c r="F5" s="80" t="n">
        <x:v>120</x:v>
      </x:c>
      <x:c r="G5" s="80" t="n">
        <x:v>180</x:v>
      </x:c>
      <x:c r="H5" s="77" t="str">
        <x:v>Validar altura, fixação e ponto.</x:v>
      </x:c>
    </x:row>
    <x:row r="6">
      <x:c r="A6" s="77" t="str">
        <x:v>Elétrica</x:v>
      </x:c>
      <x:c r="B6" s="77" t="str">
        <x:v>Troca de chuveiro</x:v>
      </x:c>
      <x:c r="C6" s="77" t="n">
        <x:v>1.25</x:v>
      </x:c>
      <x:c r="D6" s="77" t="n">
        <x:v>1.15</x:v>
      </x:c>
      <x:c r="E6" s="80" t="n">
        <x:f>MAX(Config!$B$5,Config!$B$6*C6*D6)</x:f>
        <x:v>129.375</x:v>
      </x:c>
      <x:c r="F6" s="80" t="n">
        <x:v>150</x:v>
      </x:c>
      <x:c r="G6" s="80" t="n">
        <x:v>220</x:v>
      </x:c>
      <x:c r="H6" s="77" t="str">
        <x:v>Compatibilidade do circuito.</x:v>
      </x:c>
    </x:row>
    <x:row r="7">
      <x:c r="A7" s="77" t="str">
        <x:v>Elétrica</x:v>
      </x:c>
      <x:c r="B7" s="77" t="str">
        <x:v>Instalação de ventilador</x:v>
      </x:c>
      <x:c r="C7" s="77" t="n">
        <x:v>2</x:v>
      </x:c>
      <x:c r="D7" s="77" t="n">
        <x:v>1.25</x:v>
      </x:c>
      <x:c r="E7" s="80" t="n">
        <x:f>MAX(Config!$B$5,Config!$B$6*C7*D7)</x:f>
        <x:v>225</x:v>
      </x:c>
      <x:c r="F7" s="80" t="n">
        <x:v>180</x:v>
      </x:c>
      <x:c r="G7" s="80" t="n">
        <x:v>300</x:v>
      </x:c>
      <x:c r="H7" s="77" t="str">
        <x:v>Varia por fixação e montagem.</x:v>
      </x:c>
    </x:row>
    <x:row r="8">
      <x:c r="A8" s="77" t="str">
        <x:v>Hidráulica</x:v>
      </x:c>
      <x:c r="B8" s="77" t="str">
        <x:v>Troca de torneira ou sifão</x:v>
      </x:c>
      <x:c r="C8" s="77" t="n">
        <x:v>1</x:v>
      </x:c>
      <x:c r="D8" s="77" t="n">
        <x:v>1</x:v>
      </x:c>
      <x:c r="E8" s="80" t="n">
        <x:f>MAX(Config!$B$5,Config!$B$6*C8*D8)</x:f>
        <x:v>120</x:v>
      </x:c>
      <x:c r="F8" s="80" t="n">
        <x:v>120</x:v>
      </x:c>
      <x:c r="G8" s="80" t="n">
        <x:v>180</x:v>
      </x:c>
      <x:c r="H8" s="77" t="str">
        <x:v>Peças à parte.</x:v>
      </x:c>
    </x:row>
    <x:row r="9">
      <x:c r="A9" s="77" t="str">
        <x:v>Hidráulica</x:v>
      </x:c>
      <x:c r="B9" s="77" t="str">
        <x:v>Reparo em caixa acoplada</x:v>
      </x:c>
      <x:c r="C9" s="77" t="n">
        <x:v>1.25</x:v>
      </x:c>
      <x:c r="D9" s="77" t="n">
        <x:v>1.1</x:v>
      </x:c>
      <x:c r="E9" s="80" t="n">
        <x:f>MAX(Config!$B$5,Config!$B$6*C9*D9)</x:f>
        <x:v>123.75000000000001</x:v>
      </x:c>
      <x:c r="F9" s="80" t="n">
        <x:v>140</x:v>
      </x:c>
      <x:c r="G9" s="80" t="n">
        <x:v>220</x:v>
      </x:c>
      <x:c r="H9" s="77" t="str">
        <x:v>Peças à parte.</x:v>
      </x:c>
    </x:row>
    <x:row r="10">
      <x:c r="A10" s="77" t="str">
        <x:v>Hidráulica</x:v>
      </x:c>
      <x:c r="B10" s="77" t="str">
        <x:v>Pequeno vazamento</x:v>
      </x:c>
      <x:c r="C10" s="77" t="n">
        <x:v>1.5</x:v>
      </x:c>
      <x:c r="D10" s="77" t="n">
        <x:v>1.15</x:v>
      </x:c>
      <x:c r="E10" s="80" t="n">
        <x:f>MAX(Config!$B$5,Config!$B$6*C10*D10)</x:f>
        <x:v>155.25</x:v>
      </x:c>
      <x:c r="F10" s="80" t="n">
        <x:v>140</x:v>
      </x:c>
      <x:c r="G10" s="80" t="n">
        <x:v>250</x:v>
      </x:c>
      <x:c r="H10" s="77" t="str">
        <x:v>Após diagnóstico.</x:v>
      </x:c>
    </x:row>
    <x:row r="11">
      <x:c r="A11" s="77" t="str">
        <x:v>Casa</x:v>
      </x:c>
      <x:c r="B11" s="77" t="str">
        <x:v>Prateleira, suporte ou instalação simples</x:v>
      </x:c>
      <x:c r="C11" s="77" t="n">
        <x:v>1</x:v>
      </x:c>
      <x:c r="D11" s="77" t="n">
        <x:v>1</x:v>
      </x:c>
      <x:c r="E11" s="80" t="n">
        <x:f>MAX(Config!$B$5,Config!$B$6*C11*D11)</x:f>
        <x:v>120</x:v>
      </x:c>
      <x:c r="F11" s="80" t="n">
        <x:v>120</x:v>
      </x:c>
      <x:c r="G11" s="80" t="n">
        <x:v>220</x:v>
      </x:c>
      <x:c r="H11" s="77" t="str">
        <x:v>Quantidade e parede influenciam.</x:v>
      </x:c>
    </x:row>
    <x:row r="12">
      <x:c r="A12" s="77" t="str">
        <x:v>Casa</x:v>
      </x:c>
      <x:c r="B12" s="77" t="str">
        <x:v>Suporte de TV</x:v>
      </x:c>
      <x:c r="C12" s="77" t="n">
        <x:v>1.5</x:v>
      </x:c>
      <x:c r="D12" s="77" t="n">
        <x:v>1.15</x:v>
      </x:c>
      <x:c r="E12" s="80" t="n">
        <x:f>MAX(Config!$B$5,Config!$B$6*C12*D12)</x:f>
        <x:v>155.25</x:v>
      </x:c>
      <x:c r="F12" s="80" t="n">
        <x:v>180</x:v>
      </x:c>
      <x:c r="G12" s="80" t="n">
        <x:v>300</x:v>
      </x:c>
      <x:c r="H12" s="77" t="str">
        <x:v>Suporte e peças à parte.</x:v>
      </x:c>
    </x:row>
    <x:row r="13">
      <x:c r="A13" s="77" t="str">
        <x:v>Casa</x:v>
      </x:c>
      <x:c r="B13" s="77" t="str">
        <x:v>Montagem de móvel pequeno</x:v>
      </x:c>
      <x:c r="C13" s="77" t="n">
        <x:v>2</x:v>
      </x:c>
      <x:c r="D13" s="77" t="n">
        <x:v>1</x:v>
      </x:c>
      <x:c r="E13" s="80" t="n">
        <x:f>MAX(Config!$B$5,Config!$B$6*C13*D13)</x:f>
        <x:v>180</x:v>
      </x:c>
      <x:c r="F13" s="80" t="n">
        <x:v>150</x:v>
      </x:c>
      <x:c r="G13" s="80" t="n">
        <x:v>250</x:v>
      </x:c>
      <x:c r="H13" s="77" t="str">
        <x:v>Avaliar fotos/manual.</x:v>
      </x:c>
    </x:row>
    <x:row r="14">
      <x:c r="A14" s="77" t="str">
        <x:v>Casa</x:v>
      </x:c>
      <x:c r="B14" s="77" t="str">
        <x:v>Montagem de móvel médio/grande</x:v>
      </x:c>
      <x:c r="C14" s="77" t="n">
        <x:v>3</x:v>
      </x:c>
      <x:c r="D14" s="77" t="n">
        <x:v>1.15</x:v>
      </x:c>
      <x:c r="E14" s="80" t="n">
        <x:f>MAX(Config!$B$5,Config!$B$6*C14*D14)</x:f>
        <x:v>310.5</x:v>
      </x:c>
      <x:c r="F14" s="80" t="n">
        <x:v>250</x:v>
      </x:c>
      <x:c r="G14" s="80" t="n">
        <x:v>450</x:v>
      </x:c>
      <x:c r="H14" s="77" t="str">
        <x:v>Orçamento por complexidade.</x:v>
      </x:c>
    </x:row>
    <x:row r="15">
      <x:c r="A15" s="77" t="str">
        <x:v>Eletrodomésticos</x:v>
      </x:c>
      <x:c r="B15" s="77" t="str">
        <x:v>Diagnóstico em bancada</x:v>
      </x:c>
      <x:c r="C15" s="77" t="n">
        <x:v>0.75</x:v>
      </x:c>
      <x:c r="D15" s="77" t="n">
        <x:v>1</x:v>
      </x:c>
      <x:c r="E15" s="80" t="n">
        <x:f>MAX(Config!$B$5,Config!$B$6*C15*D15)</x:f>
        <x:v>120</x:v>
      </x:c>
      <x:c r="F15" s="80" t="n">
        <x:v>70</x:v>
      </x:c>
      <x:c r="G15" s="80" t="n">
        <x:v>70</x:v>
      </x:c>
      <x:c r="H15" s="77" t="str">
        <x:v>Pode ser abatido do reparo.</x:v>
      </x:c>
    </x:row>
    <x:row r="16">
      <x:c r="A16" s="77" t="str">
        <x:v>Eletrodomésticos</x:v>
      </x:c>
      <x:c r="B16" s="77" t="str">
        <x:v>Mão de obra de reparo simples</x:v>
      </x:c>
      <x:c r="C16" s="77" t="n">
        <x:v>1.5</x:v>
      </x:c>
      <x:c r="D16" s="77" t="n">
        <x:v>1.1</x:v>
      </x:c>
      <x:c r="E16" s="80" t="n">
        <x:f>MAX(Config!$B$5,Config!$B$6*C16*D16)</x:f>
        <x:v>148.5</x:v>
      </x:c>
      <x:c r="F16" s="80" t="n">
        <x:v>100</x:v>
      </x:c>
      <x:c r="G16" s="80" t="n">
        <x:v>220</x:v>
      </x:c>
      <x:c r="H16" s="77" t="str">
        <x:v>Somente linhas atendidas.</x:v>
      </x:c>
    </x:row>
    <x:row r="17">
      <x:c r="A17" s="77" t="str">
        <x:v>Computadores</x:v>
      </x:c>
      <x:c r="B17" s="77" t="str">
        <x:v>Diagnóstico</x:v>
      </x:c>
      <x:c r="C17" s="77" t="n">
        <x:v>0.75</x:v>
      </x:c>
      <x:c r="D17" s="77" t="n">
        <x:v>1</x:v>
      </x:c>
      <x:c r="E17" s="80" t="n">
        <x:f>MAX(Config!$B$5,Config!$B$6*C17*D17)</x:f>
        <x:v>120</x:v>
      </x:c>
      <x:c r="F17" s="80" t="n">
        <x:v>80</x:v>
      </x:c>
      <x:c r="G17" s="80" t="n">
        <x:v>80</x:v>
      </x:c>
      <x:c r="H17" s="77" t="str">
        <x:v>Definir política de abatimento.</x:v>
      </x:c>
    </x:row>
    <x:row r="18">
      <x:c r="A18" s="77" t="str">
        <x:v>Computadores</x:v>
      </x:c>
      <x:c r="B18" s="77" t="str">
        <x:v>Formatação / reinstalação</x:v>
      </x:c>
      <x:c r="C18" s="77" t="n">
        <x:v>2</x:v>
      </x:c>
      <x:c r="D18" s="77" t="n">
        <x:v>1</x:v>
      </x:c>
      <x:c r="E18" s="80" t="n">
        <x:f>MAX(Config!$B$5,Config!$B$6*C18*D18)</x:f>
        <x:v>180</x:v>
      </x:c>
      <x:c r="F18" s="80" t="n">
        <x:v>150</x:v>
      </x:c>
      <x:c r="G18" s="80" t="n">
        <x:v>220</x:v>
      </x:c>
      <x:c r="H18" s="77" t="str">
        <x:v>Backup deve ser combinado.</x:v>
      </x:c>
    </x:row>
    <x:row r="19">
      <x:c r="A19" s="77" t="str">
        <x:v>Computadores</x:v>
      </x:c>
      <x:c r="B19" s="77" t="str">
        <x:v>Limpeza preventiva</x:v>
      </x:c>
      <x:c r="C19" s="77" t="n">
        <x:v>1.5</x:v>
      </x:c>
      <x:c r="D19" s="77" t="n">
        <x:v>1</x:v>
      </x:c>
      <x:c r="E19" s="80" t="n">
        <x:f>MAX(Config!$B$5,Config!$B$6*C19*D19)</x:f>
        <x:v>135</x:v>
      </x:c>
      <x:c r="F19" s="80" t="n">
        <x:v>120</x:v>
      </x:c>
      <x:c r="G19" s="80" t="n">
        <x:v>180</x:v>
      </x:c>
      <x:c r="H19" s="77" t="str">
        <x:v>Consumíveis à parte.</x:v>
      </x:c>
    </x:row>
    <x:row r="20">
      <x:c r="A20" s="77" t="str">
        <x:v>Computadores</x:v>
      </x:c>
      <x:c r="B20" s="77" t="str">
        <x:v>Instalação de SSD/RAM</x:v>
      </x:c>
      <x:c r="C20" s="77" t="n">
        <x:v>1</x:v>
      </x:c>
      <x:c r="D20" s="77" t="n">
        <x:v>1</x:v>
      </x:c>
      <x:c r="E20" s="80" t="n">
        <x:f>MAX(Config!$B$5,Config!$B$6*C20*D20)</x:f>
        <x:v>120</x:v>
      </x:c>
      <x:c r="F20" s="80" t="n">
        <x:v>100</x:v>
      </x:c>
      <x:c r="G20" s="80" t="n">
        <x:v>160</x:v>
      </x:c>
      <x:c r="H20" s="77" t="str">
        <x:v>Componente à parte.</x:v>
      </x:c>
    </x:row>
    <x:row r="21">
      <x:c r="A21" s="77" t="str">
        <x:v>Computadores</x:v>
      </x:c>
      <x:c r="B21" s="77" t="str">
        <x:v>Otimização / software</x:v>
      </x:c>
      <x:c r="C21" s="77" t="n">
        <x:v>1.5</x:v>
      </x:c>
      <x:c r="D21" s="77" t="n">
        <x:v>1.05</x:v>
      </x:c>
      <x:c r="E21" s="80" t="n">
        <x:f>MAX(Config!$B$5,Config!$B$6*C21*D21)</x:f>
        <x:v>141.75</x:v>
      </x:c>
      <x:c r="F21" s="80" t="n">
        <x:v>120</x:v>
      </x:c>
      <x:c r="G21" s="80" t="n">
        <x:v>200</x:v>
      </x:c>
      <x:c r="H21" s="77" t="str">
        <x:v>Após diagnóstico.</x:v>
      </x:c>
    </x:row>
    <x:row r="22" ht="42" customHeight="1">
      <x:c r="A22" s="31" t="str">
        <x:v>Elétrica</x:v>
      </x:c>
      <x:c r="B22" s="31" t="str">
        <x:v>Troca de lâmpada simples</x:v>
      </x:c>
      <x:c r="C22" s="31" t="n">
        <x:v>0.5</x:v>
      </x:c>
      <x:c r="D22" s="31" t="n">
        <x:v>1</x:v>
      </x:c>
      <x:c r="E22" s="33" t="n">
        <x:f>MAX(Config!$B$5,Config!$B$6*C22*D22)</x:f>
        <x:v>120</x:v>
      </x:c>
      <x:c r="F22" s="33" t="n">
        <x:v>120</x:v>
      </x:c>
      <x:c r="G22" s="33" t="n">
        <x:v>160</x:v>
      </x:c>
      <x:c r="H22" s="31" t="str">
        <x:v>Para atendimento exclusivo, aplica-se o serviço mínimo. Lâmpada à parte; múltiplos pontos podem receber valor combinado.</x:v>
      </x:c>
    </x:row>
    <x:row r="23" ht="42" customHeight="1">
      <x:c r="A23" s="31" t="str">
        <x:v>Elétrica</x:v>
      </x:c>
      <x:c r="B23" s="31" t="str">
        <x:v>Troca de resistência de chuveiro / torneira elétrica</x:v>
      </x:c>
      <x:c r="C23" s="31" t="n">
        <x:v>1.25</x:v>
      </x:c>
      <x:c r="D23" s="31" t="n">
        <x:v>1.15</x:v>
      </x:c>
      <x:c r="E23" s="33" t="n">
        <x:f>MAX(Config!$B$5,Config!$B$6*C23*D23)</x:f>
        <x:v>129.375</x:v>
      </x:c>
      <x:c r="F23" s="33" t="n">
        <x:v>140</x:v>
      </x:c>
      <x:c r="G23" s="33" t="n">
        <x:v>220</x:v>
      </x:c>
      <x:c r="H23" s="31" t="str">
        <x:v>Resistência/peça à parte. Confirmar marca/modelo, compatibilidade e condições seguras da instalação.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a47f810a8d341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0" hidden="0" customWidth="1"/>
    <x:col min="4" max="4" width="16" hidden="0" customWidth="1"/>
    <x:col min="5" max="5" width="34" hidden="0" customWidth="1"/>
    <x:col min="6" max="6" width="52" hidden="0" customWidth="1"/>
    <x:col min="7" max="7" width="35" hidden="0" customWidth="1"/>
    <x:col min="8" max="8" width="16" hidden="0" customWidth="1"/>
    <x:col min="9" max="9" width="12" hidden="0" customWidth="1"/>
  </x:cols>
  <x:sheetData>
    <x:row r="1" ht="28" customHeight="1">
      <x:c r="A1" s="155" t="str">
        <x:v>SOCORRO! O CUCA RESOLVE | Calendário de conteúdo - 30 dias</x:v>
      </x:c>
      <x:c r="B1" s="155"/>
      <x:c r="C1" s="155"/>
      <x:c r="D1" s="155"/>
      <x:c r="E1" s="155"/>
      <x:c r="F1" s="155"/>
      <x:c r="G1" s="155"/>
      <x:c r="H1" s="155"/>
      <x:c r="I1" s="155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  <x:c r="I2" s="158"/>
    </x:row>
    <x:row r="3" ht="24" customHeight="1">
      <x:c r="A3" s="159" t="str">
        <x:v>Dia</x:v>
      </x:c>
      <x:c r="B3" s="159" t="str">
        <x:v>Data</x:v>
      </x:c>
      <x:c r="C3" s="159" t="str">
        <x:v>Pilar</x:v>
      </x:c>
      <x:c r="D3" s="159" t="str">
        <x:v>Formato</x:v>
      </x:c>
      <x:c r="E3" s="159" t="str">
        <x:v>Gancho/Tema</x:v>
      </x:c>
      <x:c r="F3" s="159" t="str">
        <x:v>Legenda base</x:v>
      </x:c>
      <x:c r="G3" s="159" t="str">
        <x:v>CTA</x:v>
      </x:c>
      <x:c r="H3" s="159" t="str">
        <x:v>Status peça</x:v>
      </x:c>
      <x:c r="I3" s="159" t="str">
        <x:v>Publicado?</x:v>
      </x:c>
    </x:row>
    <x:row r="4">
      <x:c r="A4" s="77" t="n">
        <x:v>1</x:v>
      </x:c>
      <x:c r="B4" s="83" t="n">
        <x:f>Config!$B$14+A4-1</x:f>
        <x:v>46272</x:v>
      </x:c>
      <x:c r="C4" s="77" t="str">
        <x:v>Marca</x:v>
      </x:c>
      <x:c r="D4" s="77" t="str">
        <x:v>Card</x:v>
      </x:c>
      <x:c r="E4" s="77" t="str">
        <x:v>Não sabe quem chamar?</x:v>
      </x:c>
      <x:c r="F4" s="77" t="str">
        <x:v>Apresentação de SOCORRO! O CUCA RESOLVE e da proposta de um único contato para diferentes problemas.</x:v>
      </x:c>
      <x:c r="G4" s="77" t="str">
        <x:v>Envie uma foto ou vídeo pelo WhatsApp.</x:v>
      </x:c>
      <x:c r="H4" s="77" t="str">
        <x:v>A fazer</x:v>
      </x:c>
      <x:c r="I4" s="77" t="str">
        <x:v>Não</x:v>
      </x:c>
    </x:row>
    <x:row r="5">
      <x:c r="A5" s="77" t="n">
        <x:v>2</x:v>
      </x:c>
      <x:c r="B5" s="83" t="n">
        <x:f>Config!$B$14+A5-1</x:f>
        <x:v>46273</x:v>
      </x:c>
      <x:c r="C5" s="77" t="str">
        <x:v>Problema &gt; solução</x:v>
      </x:c>
      <x:c r="D5" s="77" t="str">
        <x:v>Reel</x:v>
      </x:c>
      <x:c r="E5" s="77" t="str">
        <x:v>Tomada parou de funcionar</x:v>
      </x:c>
      <x:c r="F5" s="77" t="str">
        <x:v>Mostre o problema, o atendimento e o resultado final.</x:v>
      </x:c>
      <x:c r="G5" s="77" t="str">
        <x:v>Problema apareceu? Chama o Cuca.</x:v>
      </x:c>
      <x:c r="H5" s="77" t="str">
        <x:v>A fazer</x:v>
      </x:c>
      <x:c r="I5" s="77" t="str">
        <x:v>Não</x:v>
      </x:c>
    </x:row>
    <x:row r="6">
      <x:c r="A6" s="77" t="n">
        <x:v>3</x:v>
      </x:c>
      <x:c r="B6" s="83" t="n">
        <x:f>Config!$B$14+A6-1</x:f>
        <x:v>46274</x:v>
      </x:c>
      <x:c r="C6" s="77" t="str">
        <x:v>Dica</x:v>
      </x:c>
      <x:c r="D6" s="77" t="str">
        <x:v>Card</x:v>
      </x:c>
      <x:c r="E6" s="77" t="str">
        <x:v>Lâmpada queimou?</x:v>
      </x:c>
      <x:c r="F6" s="77" t="str">
        <x:v>Mostre um atendimento real de troca de lâmpada e o resultado final, sem transformar o conteúdo em tutorial elétrico.</x:v>
      </x:c>
      <x:c r="G6" s="77" t="str">
        <x:v>Mande uma foto do ponto. Chama o Cuca.</x:v>
      </x:c>
      <x:c r="H6" s="77" t="str">
        <x:v>A fazer</x:v>
      </x:c>
      <x:c r="I6" s="77" t="str">
        <x:v>Não</x:v>
      </x:c>
    </x:row>
    <x:row r="7">
      <x:c r="A7" s="77" t="n">
        <x:v>4</x:v>
      </x:c>
      <x:c r="B7" s="83" t="n">
        <x:f>Config!$B$14+A7-1</x:f>
        <x:v>46275</x:v>
      </x:c>
      <x:c r="C7" s="77" t="str">
        <x:v>Serviço</x:v>
      </x:c>
      <x:c r="D7" s="77" t="str">
        <x:v>Reel</x:v>
      </x:c>
      <x:c r="E7" s="77" t="str">
        <x:v>Computador ficou lento?</x:v>
      </x:c>
      <x:c r="F7" s="77" t="str">
        <x:v>Mostre diagnóstico, limpeza ou upgrade de forma visual.</x:v>
      </x:c>
      <x:c r="G7" s="77" t="str">
        <x:v>Fale pelo WhatsApp e descreva o problema.</x:v>
      </x:c>
      <x:c r="H7" s="77" t="str">
        <x:v>A fazer</x:v>
      </x:c>
      <x:c r="I7" s="77" t="str">
        <x:v>Não</x:v>
      </x:c>
    </x:row>
    <x:row r="8">
      <x:c r="A8" s="77" t="n">
        <x:v>5</x:v>
      </x:c>
      <x:c r="B8" s="83" t="n">
        <x:f>Config!$B$14+A8-1</x:f>
        <x:v>46276</x:v>
      </x:c>
      <x:c r="C8" s="77" t="str">
        <x:v>Problema &gt; solução</x:v>
      </x:c>
      <x:c r="D8" s="77" t="str">
        <x:v>Antes/Depois</x:v>
      </x:c>
      <x:c r="E8" s="77" t="str">
        <x:v>Pequeno vazamento, grande incômodo</x:v>
      </x:c>
      <x:c r="F8" s="77" t="str">
        <x:v>Antes e depois de um reparo hidráulico simples.</x:v>
      </x:c>
      <x:c r="G8" s="77" t="str">
        <x:v>Atendimento em Socorro-SP e região.</x:v>
      </x:c>
      <x:c r="H8" s="77" t="str">
        <x:v>A fazer</x:v>
      </x:c>
      <x:c r="I8" s="77" t="str">
        <x:v>Não</x:v>
      </x:c>
    </x:row>
    <x:row r="9">
      <x:c r="A9" s="77" t="n">
        <x:v>6</x:v>
      </x:c>
      <x:c r="B9" s="83" t="n">
        <x:f>Config!$B$14+A9-1</x:f>
        <x:v>46277</x:v>
      </x:c>
      <x:c r="C9" s="77" t="str">
        <x:v>Bastidores</x:v>
      </x:c>
      <x:c r="D9" s="77" t="str">
        <x:v>Stories</x:v>
      </x:c>
      <x:c r="E9" s="77" t="str">
        <x:v>O que vai na caixa de ferramentas</x:v>
      </x:c>
      <x:c r="F9" s="77" t="str">
        <x:v>Mostre organização, limpeza e preparo.</x:v>
      </x:c>
      <x:c r="G9" s="77" t="str">
        <x:v>Salve nosso contato para quando precisar.</x:v>
      </x:c>
      <x:c r="H9" s="77" t="str">
        <x:v>A fazer</x:v>
      </x:c>
      <x:c r="I9" s="77" t="str">
        <x:v>Não</x:v>
      </x:c>
    </x:row>
    <x:row r="10">
      <x:c r="A10" s="77" t="n">
        <x:v>7</x:v>
      </x:c>
      <x:c r="B10" s="83" t="n">
        <x:f>Config!$B$14+A10-1</x:f>
        <x:v>46278</x:v>
      </x:c>
      <x:c r="C10" s="77" t="str">
        <x:v>Prova social</x:v>
      </x:c>
      <x:c r="D10" s="77" t="str">
        <x:v>Card</x:v>
      </x:c>
      <x:c r="E10" s="77" t="str">
        <x:v>Cliente satisfeito</x:v>
      </x:c>
      <x:c r="F10" s="77" t="str">
        <x:v>Compartilhe avaliação real com autorização.</x:v>
      </x:c>
      <x:c r="G10" s="77" t="str">
        <x:v>Já foi atendido? Avalie SOCORRO! O CUCA RESOLVE no Google.</x:v>
      </x:c>
      <x:c r="H10" s="77" t="str">
        <x:v>A fazer</x:v>
      </x:c>
      <x:c r="I10" s="77" t="str">
        <x:v>Não</x:v>
      </x:c>
    </x:row>
    <x:row r="11">
      <x:c r="A11" s="77" t="n">
        <x:v>8</x:v>
      </x:c>
      <x:c r="B11" s="83" t="n">
        <x:f>Config!$B$14+A11-1</x:f>
        <x:v>46279</x:v>
      </x:c>
      <x:c r="C11" s="77" t="str">
        <x:v>Serviço</x:v>
      </x:c>
      <x:c r="D11" s="77" t="str">
        <x:v>Reel</x:v>
      </x:c>
      <x:c r="E11" s="77" t="str">
        <x:v>Comprou o móvel e ficou a montagem?</x:v>
      </x:c>
      <x:c r="F11" s="77" t="str">
        <x:v>Mostre montagem real em cortes rápidos.</x:v>
      </x:c>
      <x:c r="G11" s="77" t="str">
        <x:v>Chama o Cuca.</x:v>
      </x:c>
      <x:c r="H11" s="77" t="str">
        <x:v>A fazer</x:v>
      </x:c>
      <x:c r="I11" s="77" t="str">
        <x:v>Não</x:v>
      </x:c>
    </x:row>
    <x:row r="12">
      <x:c r="A12" s="77" t="n">
        <x:v>9</x:v>
      </x:c>
      <x:c r="B12" s="83" t="n">
        <x:f>Config!$B$14+A12-1</x:f>
        <x:v>46280</x:v>
      </x:c>
      <x:c r="C12" s="77" t="str">
        <x:v>Serviço</x:v>
      </x:c>
      <x:c r="D12" s="77" t="str">
        <x:v>Card</x:v>
      </x:c>
      <x:c r="E12" s="77" t="str">
        <x:v>Também atendemos eletrodomésticos selecionados</x:v>
      </x:c>
      <x:c r="F12" s="77" t="str">
        <x:v>Explique que marca e modelo são avaliados antes do aceite.</x:v>
      </x:c>
      <x:c r="G12" s="77" t="str">
        <x:v>Envie marca, modelo, foto e defeito pelo WhatsApp.</x:v>
      </x:c>
      <x:c r="H12" s="77" t="str">
        <x:v>A fazer</x:v>
      </x:c>
      <x:c r="I12" s="77" t="str">
        <x:v>Não</x:v>
      </x:c>
    </x:row>
    <x:row r="13">
      <x:c r="A13" s="77" t="n">
        <x:v>10</x:v>
      </x:c>
      <x:c r="B13" s="83" t="n">
        <x:f>Config!$B$14+A13-1</x:f>
        <x:v>46281</x:v>
      </x:c>
      <x:c r="C13" s="77" t="str">
        <x:v>Dica</x:v>
      </x:c>
      <x:c r="D13" s="77" t="str">
        <x:v>Card</x:v>
      </x:c>
      <x:c r="E13" s="77" t="str">
        <x:v>Foto ou vídeo ajuda a acelerar o orçamento</x:v>
      </x:c>
      <x:c r="F13" s="77" t="str">
        <x:v>Ensine o cliente a mandar contexto do problema antes da visita.</x:v>
      </x:c>
      <x:c r="G13" s="77" t="str">
        <x:v>Mande pelo WhatsApp.</x:v>
      </x:c>
      <x:c r="H13" s="77" t="str">
        <x:v>A fazer</x:v>
      </x:c>
      <x:c r="I13" s="77" t="str">
        <x:v>Não</x:v>
      </x:c>
    </x:row>
    <x:row r="14">
      <x:c r="A14" s="77" t="n">
        <x:v>11</x:v>
      </x:c>
      <x:c r="B14" s="83" t="n">
        <x:f>Config!$B$14+A14-1</x:f>
        <x:v>46282</x:v>
      </x:c>
      <x:c r="C14" s="77" t="str">
        <x:v>Problema &gt; solução</x:v>
      </x:c>
      <x:c r="D14" s="77" t="str">
        <x:v>Reel</x:v>
      </x:c>
      <x:c r="E14" s="77" t="str">
        <x:v>Chuveiro ou torneira elétrica parou de aquecer?</x:v>
      </x:c>
      <x:c r="F14" s="77" t="str">
        <x:v>Mostre a avaliação e, quando aplicável, a troca da resistência. Confirme marca/modelo e compatibilidade antes do serviço.</x:v>
      </x:c>
      <x:c r="G14" s="77" t="str">
        <x:v>Envie foto e marca/modelo. Chama o Cuca.</x:v>
      </x:c>
      <x:c r="H14" s="77" t="str">
        <x:v>A fazer</x:v>
      </x:c>
      <x:c r="I14" s="77" t="str">
        <x:v>Não</x:v>
      </x:c>
    </x:row>
    <x:row r="15">
      <x:c r="A15" s="77" t="n">
        <x:v>12</x:v>
      </x:c>
      <x:c r="B15" s="83" t="n">
        <x:f>Config!$B$14+A15-1</x:f>
        <x:v>46283</x:v>
      </x:c>
      <x:c r="C15" s="77" t="str">
        <x:v>Marca</x:v>
      </x:c>
      <x:c r="D15" s="77" t="str">
        <x:v>Foto</x:v>
      </x:c>
      <x:c r="E15" s="77" t="str">
        <x:v>Quem está por trás de SOCORRO! O CUCA RESOLVE</x:v>
      </x:c>
      <x:c r="F15" s="77" t="str">
        <x:v>Foto profissional do responsável e apresentação curta.</x:v>
      </x:c>
      <x:c r="G15" s="77" t="str">
        <x:v>Conte com a gente em Socorro e região.</x:v>
      </x:c>
      <x:c r="H15" s="77" t="str">
        <x:v>A fazer</x:v>
      </x:c>
      <x:c r="I15" s="77" t="str">
        <x:v>Não</x:v>
      </x:c>
    </x:row>
    <x:row r="16">
      <x:c r="A16" s="77" t="n">
        <x:v>13</x:v>
      </x:c>
      <x:c r="B16" s="83" t="n">
        <x:f>Config!$B$14+A16-1</x:f>
        <x:v>46284</x:v>
      </x:c>
      <x:c r="C16" s="77" t="str">
        <x:v>Dica</x:v>
      </x:c>
      <x:c r="D16" s="77" t="str">
        <x:v>Card</x:v>
      </x:c>
      <x:c r="E16" s="77" t="str">
        <x:v>Quando consertar e quando substituir?</x:v>
      </x:c>
      <x:c r="F16" s="77" t="str">
        <x:v>Explique que diagnóstico vem antes de gastar com peça.</x:v>
      </x:c>
      <x:c r="G16" s="77" t="str">
        <x:v>Consulte antes de comprar uma peça nova.</x:v>
      </x:c>
      <x:c r="H16" s="77" t="str">
        <x:v>A fazer</x:v>
      </x:c>
      <x:c r="I16" s="77" t="str">
        <x:v>Não</x:v>
      </x:c>
    </x:row>
    <x:row r="17">
      <x:c r="A17" s="77" t="n">
        <x:v>14</x:v>
      </x:c>
      <x:c r="B17" s="83" t="n">
        <x:f>Config!$B$14+A17-1</x:f>
        <x:v>46285</x:v>
      </x:c>
      <x:c r="C17" s="77" t="str">
        <x:v>Serviço</x:v>
      </x:c>
      <x:c r="D17" s="77" t="str">
        <x:v>Reel</x:v>
      </x:c>
      <x:c r="E17" s="77" t="str">
        <x:v>Prateleira ou suporte para instalar</x:v>
      </x:c>
      <x:c r="F17" s="77" t="str">
        <x:v>Mostre acabamento e organização final.</x:v>
      </x:c>
      <x:c r="G17" s="77" t="str">
        <x:v>Envie uma foto do local.</x:v>
      </x:c>
      <x:c r="H17" s="77" t="str">
        <x:v>A fazer</x:v>
      </x:c>
      <x:c r="I17" s="77" t="str">
        <x:v>Não</x:v>
      </x:c>
    </x:row>
    <x:row r="18">
      <x:c r="A18" s="77" t="n">
        <x:v>15</x:v>
      </x:c>
      <x:c r="B18" s="83" t="n">
        <x:f>Config!$B$14+A18-1</x:f>
        <x:v>46286</x:v>
      </x:c>
      <x:c r="C18" s="77" t="str">
        <x:v>Prova social</x:v>
      </x:c>
      <x:c r="D18" s="77" t="str">
        <x:v>Stories</x:v>
      </x:c>
      <x:c r="E18" s="77" t="str">
        <x:v>Antes e depois da semana</x:v>
      </x:c>
      <x:c r="F18" s="77" t="str">
        <x:v>Sequência com 3 serviços reais.</x:v>
      </x:c>
      <x:c r="G18" s="77" t="str">
        <x:v>Qual problema você precisa resolver?</x:v>
      </x:c>
      <x:c r="H18" s="77" t="str">
        <x:v>A fazer</x:v>
      </x:c>
      <x:c r="I18" s="77" t="str">
        <x:v>Não</x:v>
      </x:c>
    </x:row>
    <x:row r="19">
      <x:c r="A19" s="77" t="n">
        <x:v>16</x:v>
      </x:c>
      <x:c r="B19" s="83" t="n">
        <x:f>Config!$B$14+A19-1</x:f>
        <x:v>46287</x:v>
      </x:c>
      <x:c r="C19" s="77" t="str">
        <x:v>Serviço</x:v>
      </x:c>
      <x:c r="D19" s="77" t="str">
        <x:v>Card</x:v>
      </x:c>
      <x:c r="E19" s="77" t="str">
        <x:v>5 tipos de problemas que você pode mandar para o Cuca</x:v>
      </x:c>
      <x:c r="F19" s="77" t="str">
        <x:v>Casa, elétrica, hidráulica, eletrodomésticos e PCs.</x:v>
      </x:c>
      <x:c r="G19" s="77" t="str">
        <x:v>Salve este post.</x:v>
      </x:c>
      <x:c r="H19" s="77" t="str">
        <x:v>A fazer</x:v>
      </x:c>
      <x:c r="I19" s="77" t="str">
        <x:v>Não</x:v>
      </x:c>
    </x:row>
    <x:row r="20">
      <x:c r="A20" s="77" t="n">
        <x:v>17</x:v>
      </x:c>
      <x:c r="B20" s="83" t="n">
        <x:f>Config!$B$14+A20-1</x:f>
        <x:v>46288</x:v>
      </x:c>
      <x:c r="C20" s="77" t="str">
        <x:v>Dica</x:v>
      </x:c>
      <x:c r="D20" s="77" t="str">
        <x:v>Reel</x:v>
      </x:c>
      <x:c r="E20" s="77" t="str">
        <x:v>PC travando: o diagnóstico vem primeiro</x:v>
      </x:c>
      <x:c r="F20" s="77" t="str">
        <x:v>Explique que lentidão pode ter causas diferentes.</x:v>
      </x:c>
      <x:c r="G20" s="77" t="str">
        <x:v>Conte o sintoma pelo WhatsApp.</x:v>
      </x:c>
      <x:c r="H20" s="77" t="str">
        <x:v>A fazer</x:v>
      </x:c>
      <x:c r="I20" s="77" t="str">
        <x:v>Não</x:v>
      </x:c>
    </x:row>
    <x:row r="21">
      <x:c r="A21" s="77" t="n">
        <x:v>18</x:v>
      </x:c>
      <x:c r="B21" s="83" t="n">
        <x:f>Config!$B$14+A21-1</x:f>
        <x:v>46289</x:v>
      </x:c>
      <x:c r="C21" s="77" t="str">
        <x:v>Problema &gt; solução</x:v>
      </x:c>
      <x:c r="D21" s="77" t="str">
        <x:v>Antes/Depois</x:v>
      </x:c>
      <x:c r="E21" s="77" t="str">
        <x:v>Torneira pingando</x:v>
      </x:c>
      <x:c r="F21" s="77" t="str">
        <x:v>Mostre o antes e o resultado.</x:v>
      </x:c>
      <x:c r="G21" s="77" t="str">
        <x:v>Pequeno problema também merece solução.</x:v>
      </x:c>
      <x:c r="H21" s="77" t="str">
        <x:v>A fazer</x:v>
      </x:c>
      <x:c r="I21" s="77" t="str">
        <x:v>Não</x:v>
      </x:c>
    </x:row>
    <x:row r="22">
      <x:c r="A22" s="77" t="n">
        <x:v>19</x:v>
      </x:c>
      <x:c r="B22" s="83" t="n">
        <x:f>Config!$B$14+A22-1</x:f>
        <x:v>46290</x:v>
      </x:c>
      <x:c r="C22" s="77" t="str">
        <x:v>Bastidores</x:v>
      </x:c>
      <x:c r="D22" s="77" t="str">
        <x:v>Stories</x:v>
      </x:c>
      <x:c r="E22" s="77" t="str">
        <x:v>Checagem antes de sair para atendimento</x:v>
      </x:c>
      <x:c r="F22" s="77" t="str">
        <x:v>Ferramentas, foto do chamado e organização.</x:v>
      </x:c>
      <x:c r="G22" s="77" t="str">
        <x:v>Atendimento sob agendamento.</x:v>
      </x:c>
      <x:c r="H22" s="77" t="str">
        <x:v>A fazer</x:v>
      </x:c>
      <x:c r="I22" s="77" t="str">
        <x:v>Não</x:v>
      </x:c>
    </x:row>
    <x:row r="23">
      <x:c r="A23" s="77" t="n">
        <x:v>20</x:v>
      </x:c>
      <x:c r="B23" s="83" t="n">
        <x:f>Config!$B$14+A23-1</x:f>
        <x:v>46291</x:v>
      </x:c>
      <x:c r="C23" s="77" t="str">
        <x:v>Marca</x:v>
      </x:c>
      <x:c r="D23" s="77" t="str">
        <x:v>Card</x:v>
      </x:c>
      <x:c r="E23" s="77" t="str">
        <x:v>Da casa ao computador, o Cuca resolve.</x:v>
      </x:c>
      <x:c r="F23" s="77" t="str">
        <x:v>Reforce o posicionamento central da marca.</x:v>
      </x:c>
      <x:c r="G23" s="77" t="str">
        <x:v>Compartilhe com quem vive procurando profissional.</x:v>
      </x:c>
      <x:c r="H23" s="77" t="str">
        <x:v>A fazer</x:v>
      </x:c>
      <x:c r="I23" s="77" t="str">
        <x:v>Não</x:v>
      </x:c>
    </x:row>
    <x:row r="24">
      <x:c r="A24" s="77" t="n">
        <x:v>21</x:v>
      </x:c>
      <x:c r="B24" s="83" t="n">
        <x:f>Config!$B$14+A24-1</x:f>
        <x:v>46292</x:v>
      </x:c>
      <x:c r="C24" s="77" t="str">
        <x:v>Serviço</x:v>
      </x:c>
      <x:c r="D24" s="77" t="str">
        <x:v>Reel</x:v>
      </x:c>
      <x:c r="E24" s="77" t="str">
        <x:v>Ventilador, luminária ou interruptor</x:v>
      </x:c>
      <x:c r="F24" s="77" t="str">
        <x:v>Mostre um serviço real de elétrica simples.</x:v>
      </x:c>
      <x:c r="G24" s="77" t="str">
        <x:v>Mande foto e endereço.</x:v>
      </x:c>
      <x:c r="H24" s="77" t="str">
        <x:v>A fazer</x:v>
      </x:c>
      <x:c r="I24" s="77" t="str">
        <x:v>Não</x:v>
      </x:c>
    </x:row>
    <x:row r="25">
      <x:c r="A25" s="77" t="n">
        <x:v>22</x:v>
      </x:c>
      <x:c r="B25" s="83" t="n">
        <x:f>Config!$B$14+A25-1</x:f>
        <x:v>46293</x:v>
      </x:c>
      <x:c r="C25" s="77" t="str">
        <x:v>Dica</x:v>
      </x:c>
      <x:c r="D25" s="77" t="str">
        <x:v>Card</x:v>
      </x:c>
      <x:c r="E25" s="77" t="str">
        <x:v>Não compre a peça antes de confirmar o diagnóstico</x:v>
      </x:c>
      <x:c r="F25" s="77" t="str">
        <x:v>Ajude a evitar gasto desnecessário.</x:v>
      </x:c>
      <x:c r="G25" s="77" t="str">
        <x:v>Fale com o Cuca primeiro.</x:v>
      </x:c>
      <x:c r="H25" s="77" t="str">
        <x:v>A fazer</x:v>
      </x:c>
      <x:c r="I25" s="77" t="str">
        <x:v>Não</x:v>
      </x:c>
    </x:row>
    <x:row r="26">
      <x:c r="A26" s="77" t="n">
        <x:v>23</x:v>
      </x:c>
      <x:c r="B26" s="83" t="n">
        <x:f>Config!$B$14+A26-1</x:f>
        <x:v>46294</x:v>
      </x:c>
      <x:c r="C26" s="77" t="str">
        <x:v>B2B</x:v>
      </x:c>
      <x:c r="D26" s="77" t="str">
        <x:v>Card</x:v>
      </x:c>
      <x:c r="E26" s="77" t="str">
        <x:v>Você administra imóvel, pousada ou Airbnb?</x:v>
      </x:c>
      <x:c r="F26" s="77" t="str">
        <x:v>Apresente a proposta de um único contato para pequenos chamados.</x:v>
      </x:c>
      <x:c r="G26" s="77" t="str">
        <x:v>Peça nossa apresentação para parceiros.</x:v>
      </x:c>
      <x:c r="H26" s="77" t="str">
        <x:v>A fazer</x:v>
      </x:c>
      <x:c r="I26" s="77" t="str">
        <x:v>Não</x:v>
      </x:c>
    </x:row>
    <x:row r="27">
      <x:c r="A27" s="77" t="n">
        <x:v>24</x:v>
      </x:c>
      <x:c r="B27" s="83" t="n">
        <x:f>Config!$B$14+A27-1</x:f>
        <x:v>46295</x:v>
      </x:c>
      <x:c r="C27" s="77" t="str">
        <x:v>Problema &gt; solução</x:v>
      </x:c>
      <x:c r="D27" s="77" t="str">
        <x:v>Reel</x:v>
      </x:c>
      <x:c r="E27" s="77" t="str">
        <x:v>Montagem que ficou parada</x:v>
      </x:c>
      <x:c r="F27" s="77" t="str">
        <x:v>Conte uma mini-história: chegou, ficou na caixa, foi resolvido.</x:v>
      </x:c>
      <x:c r="G27" s="77" t="str">
        <x:v>Chama o Cuca.</x:v>
      </x:c>
      <x:c r="H27" s="77" t="str">
        <x:v>A fazer</x:v>
      </x:c>
      <x:c r="I27" s="77" t="str">
        <x:v>Não</x:v>
      </x:c>
    </x:row>
    <x:row r="28">
      <x:c r="A28" s="77" t="n">
        <x:v>25</x:v>
      </x:c>
      <x:c r="B28" s="83" t="n">
        <x:f>Config!$B$14+A28-1</x:f>
        <x:v>46296</x:v>
      </x:c>
      <x:c r="C28" s="77" t="str">
        <x:v>Prova social</x:v>
      </x:c>
      <x:c r="D28" s="77" t="str">
        <x:v>Card</x:v>
      </x:c>
      <x:c r="E28" s="77" t="str">
        <x:v>Avaliação da semana</x:v>
      </x:c>
      <x:c r="F28" s="77" t="str">
        <x:v>Use uma avaliação real e curta.</x:v>
      </x:c>
      <x:c r="G28" s="77" t="str">
        <x:v>Seu feedback ajuda um negócio local.</x:v>
      </x:c>
      <x:c r="H28" s="77" t="str">
        <x:v>A fazer</x:v>
      </x:c>
      <x:c r="I28" s="77" t="str">
        <x:v>Não</x:v>
      </x:c>
    </x:row>
    <x:row r="29">
      <x:c r="A29" s="77" t="n">
        <x:v>26</x:v>
      </x:c>
      <x:c r="B29" s="83" t="n">
        <x:f>Config!$B$14+A29-1</x:f>
        <x:v>46297</x:v>
      </x:c>
      <x:c r="C29" s="77" t="str">
        <x:v>Serviço</x:v>
      </x:c>
      <x:c r="D29" s="77" t="str">
        <x:v>Reel</x:v>
      </x:c>
      <x:c r="E29" s="77" t="str">
        <x:v>Upgrade de SSD ou memória</x:v>
      </x:c>
      <x:c r="F29" s="77" t="str">
        <x:v>Mostre o antes/depois de desempenho de forma simples.</x:v>
      </x:c>
      <x:c r="G29" s="77" t="str">
        <x:v>Consulte compatibilidade do seu PC.</x:v>
      </x:c>
      <x:c r="H29" s="77" t="str">
        <x:v>A fazer</x:v>
      </x:c>
      <x:c r="I29" s="77" t="str">
        <x:v>Não</x:v>
      </x:c>
    </x:row>
    <x:row r="30">
      <x:c r="A30" s="77" t="n">
        <x:v>27</x:v>
      </x:c>
      <x:c r="B30" s="83" t="n">
        <x:f>Config!$B$14+A30-1</x:f>
        <x:v>46298</x:v>
      </x:c>
      <x:c r="C30" s="77" t="str">
        <x:v>Dica</x:v>
      </x:c>
      <x:c r="D30" s="77" t="str">
        <x:v>Card</x:v>
      </x:c>
      <x:c r="E30" s="77" t="str">
        <x:v>3 informações para mandar no primeiro WhatsApp</x:v>
      </x:c>
      <x:c r="F30" s="77" t="str">
        <x:v>Problema, foto/vídeo e bairro/cidade.</x:v>
      </x:c>
      <x:c r="G30" s="77" t="str">
        <x:v>Isso agiliza sua avaliação.</x:v>
      </x:c>
      <x:c r="H30" s="77" t="str">
        <x:v>A fazer</x:v>
      </x:c>
      <x:c r="I30" s="77" t="str">
        <x:v>Não</x:v>
      </x:c>
    </x:row>
    <x:row r="31">
      <x:c r="A31" s="77" t="n">
        <x:v>28</x:v>
      </x:c>
      <x:c r="B31" s="83" t="n">
        <x:f>Config!$B$14+A31-1</x:f>
        <x:v>46299</x:v>
      </x:c>
      <x:c r="C31" s="77" t="str">
        <x:v>Bastidores</x:v>
      </x:c>
      <x:c r="D31" s="77" t="str">
        <x:v>Foto</x:v>
      </x:c>
      <x:c r="E31" s="77" t="str">
        <x:v>Bancada organizada, serviço organizado</x:v>
      </x:c>
      <x:c r="F31" s="77" t="str">
        <x:v>Mostre cuidado com ferramentas e equipamentos.</x:v>
      </x:c>
      <x:c r="G31" s="77" t="str">
        <x:v>Confiança começa nos detalhes.</x:v>
      </x:c>
      <x:c r="H31" s="77" t="str">
        <x:v>A fazer</x:v>
      </x:c>
      <x:c r="I31" s="77" t="str">
        <x:v>Não</x:v>
      </x:c>
    </x:row>
    <x:row r="32">
      <x:c r="A32" s="77" t="n">
        <x:v>29</x:v>
      </x:c>
      <x:c r="B32" s="83" t="n">
        <x:f>Config!$B$14+A32-1</x:f>
        <x:v>46300</x:v>
      </x:c>
      <x:c r="C32" s="77" t="str">
        <x:v>B2B</x:v>
      </x:c>
      <x:c r="D32" s="77" t="str">
        <x:v>Reel</x:v>
      </x:c>
      <x:c r="E32" s="77" t="str">
        <x:v>Pequenos chamados sem procurar 5 fornecedores</x:v>
      </x:c>
      <x:c r="F32" s="77" t="str">
        <x:v>Fale diretamente com imobiliárias e pousadas.</x:v>
      </x:c>
      <x:c r="G32" s="77" t="str">
        <x:v>Vamos conversar sobre parceria.</x:v>
      </x:c>
      <x:c r="H32" s="77" t="str">
        <x:v>A fazer</x:v>
      </x:c>
      <x:c r="I32" s="77" t="str">
        <x:v>Não</x:v>
      </x:c>
    </x:row>
    <x:row r="33">
      <x:c r="A33" s="77" t="n">
        <x:v>30</x:v>
      </x:c>
      <x:c r="B33" s="83" t="n">
        <x:f>Config!$B$14+A33-1</x:f>
        <x:v>46301</x:v>
      </x:c>
      <x:c r="C33" s="77" t="str">
        <x:v>Marca</x:v>
      </x:c>
      <x:c r="D33" s="77" t="str">
        <x:v>Reel</x:v>
      </x:c>
      <x:c r="E33" s="77" t="str">
        <x:v>30 dias resolvendo problemas</x:v>
      </x:c>
      <x:c r="F33" s="77" t="str">
        <x:v>Compilado dos melhores atendimentos e aprendizados do mês.</x:v>
      </x:c>
      <x:c r="G33" s="77" t="str">
        <x:v>Problema apareceu? Chama o Cuca.</x:v>
      </x:c>
      <x:c r="H33" s="77" t="str">
        <x:v>A fazer</x:v>
      </x:c>
      <x:c r="I33" s="77" t="str">
        <x:v>Não</x:v>
      </x:c>
    </x:row>
  </x:sheetData>
  <x:mergeCells>
    <x:mergeCell ref="A1:I1"/>
  </x:mergeCells>
  <x:conditionalFormatting sqref="I4:I33">
    <x:cfRule type="expression" dxfId="3" priority="1">
      <x:formula>I4="Sim"</x:formula>
    </x:cfRule>
  </x:conditionalFormatting>
  <x:dataValidations count="2">
    <x:dataValidation type="list" sqref="H4:H33">
      <x:formula1>"A fazer,Em produção,Pronto"</x:formula1>
    </x:dataValidation>
    <x:dataValidation type="list" sqref="I4:I33">
      <x:formula1>"Não,Sim"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bffc14eff74f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17" hidden="0" customWidth="1"/>
    <x:col min="5" max="5" width="18" hidden="0" customWidth="1"/>
    <x:col min="6" max="6" width="15" hidden="0" customWidth="1"/>
    <x:col min="7" max="7" width="18" hidden="0" customWidth="1"/>
    <x:col min="8" max="8" width="34" hidden="0" customWidth="1"/>
    <x:col min="9" max="9" width="15" hidden="0" customWidth="1"/>
    <x:col min="10" max="10" width="18" hidden="0" customWidth="1"/>
    <x:col min="11" max="11" width="38" hidden="0" customWidth="1"/>
  </x:cols>
  <x:sheetData>
    <x:row r="1" ht="28" customHeight="1">
      <x:c r="A1" s="155" t="str">
        <x:v>SOCORRO! O CUCA RESOLVE | Parceiros B2B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</x:row>
    <x:row r="3" ht="24" customHeight="1">
      <x:c r="A3" s="159" t="str">
        <x:v>Empresa</x:v>
      </x:c>
      <x:c r="B3" s="159" t="str">
        <x:v>Tipo</x:v>
      </x:c>
      <x:c r="C3" s="159" t="str">
        <x:v>Contato</x:v>
      </x:c>
      <x:c r="D3" s="159" t="str">
        <x:v>WhatsApp</x:v>
      </x:c>
      <x:c r="E3" s="159" t="str">
        <x:v>Cidade</x:v>
      </x:c>
      <x:c r="F3" s="159" t="str">
        <x:v>Data 1º contato</x:v>
      </x:c>
      <x:c r="G3" s="159" t="str">
        <x:v>Status</x:v>
      </x:c>
      <x:c r="H3" s="159" t="str">
        <x:v>Próxima ação</x:v>
      </x:c>
      <x:c r="I3" s="159" t="str">
        <x:v>Data follow-up</x:v>
      </x:c>
      <x:c r="J3" s="159" t="str">
        <x:v>Potencial mensal</x:v>
      </x:c>
      <x:c r="K3" s="159" t="str">
        <x:v>Observações</x:v>
      </x:c>
    </x:row>
    <x:row r="4">
      <x:c r="A4" s="77"/>
      <x:c r="B4" s="77"/>
      <x:c r="C4" s="77"/>
      <x:c r="D4" s="77"/>
      <x:c r="E4" s="77"/>
      <x:c r="F4" s="83"/>
      <x:c r="G4" s="77"/>
      <x:c r="H4" s="77"/>
      <x:c r="I4" s="83"/>
      <x:c r="J4" s="80"/>
      <x:c r="K4" s="77"/>
    </x:row>
    <x:row r="5">
      <x:c r="A5" s="77"/>
      <x:c r="B5" s="77"/>
      <x:c r="C5" s="77"/>
      <x:c r="D5" s="77"/>
      <x:c r="E5" s="77"/>
      <x:c r="F5" s="83"/>
      <x:c r="G5" s="77"/>
      <x:c r="H5" s="77"/>
      <x:c r="I5" s="83"/>
      <x:c r="J5" s="80"/>
      <x:c r="K5" s="77"/>
    </x:row>
    <x:row r="6">
      <x:c r="A6" s="77"/>
      <x:c r="B6" s="77"/>
      <x:c r="C6" s="77"/>
      <x:c r="D6" s="77"/>
      <x:c r="E6" s="77"/>
      <x:c r="F6" s="83"/>
      <x:c r="G6" s="77"/>
      <x:c r="H6" s="77"/>
      <x:c r="I6" s="83"/>
      <x:c r="J6" s="80"/>
      <x:c r="K6" s="77"/>
    </x:row>
    <x:row r="7">
      <x:c r="A7" s="77"/>
      <x:c r="B7" s="77"/>
      <x:c r="C7" s="77"/>
      <x:c r="D7" s="77"/>
      <x:c r="E7" s="77"/>
      <x:c r="F7" s="83"/>
      <x:c r="G7" s="77"/>
      <x:c r="H7" s="77"/>
      <x:c r="I7" s="83"/>
      <x:c r="J7" s="80"/>
      <x:c r="K7" s="77"/>
    </x:row>
    <x:row r="8">
      <x:c r="A8" s="77"/>
      <x:c r="B8" s="77"/>
      <x:c r="C8" s="77"/>
      <x:c r="D8" s="77"/>
      <x:c r="E8" s="77"/>
      <x:c r="F8" s="83"/>
      <x:c r="G8" s="77"/>
      <x:c r="H8" s="77"/>
      <x:c r="I8" s="83"/>
      <x:c r="J8" s="80"/>
      <x:c r="K8" s="77"/>
    </x:row>
    <x:row r="9">
      <x:c r="A9" s="77"/>
      <x:c r="B9" s="77"/>
      <x:c r="C9" s="77"/>
      <x:c r="D9" s="77"/>
      <x:c r="E9" s="77"/>
      <x:c r="F9" s="83"/>
      <x:c r="G9" s="77"/>
      <x:c r="H9" s="77"/>
      <x:c r="I9" s="83"/>
      <x:c r="J9" s="80"/>
      <x:c r="K9" s="77"/>
    </x:row>
    <x:row r="10">
      <x:c r="A10" s="77"/>
      <x:c r="B10" s="77"/>
      <x:c r="C10" s="77"/>
      <x:c r="D10" s="77"/>
      <x:c r="E10" s="77"/>
      <x:c r="F10" s="83"/>
      <x:c r="G10" s="77"/>
      <x:c r="H10" s="77"/>
      <x:c r="I10" s="83"/>
      <x:c r="J10" s="80"/>
      <x:c r="K10" s="77"/>
    </x:row>
    <x:row r="11">
      <x:c r="A11" s="77"/>
      <x:c r="B11" s="77"/>
      <x:c r="C11" s="77"/>
      <x:c r="D11" s="77"/>
      <x:c r="E11" s="77"/>
      <x:c r="F11" s="83"/>
      <x:c r="G11" s="77"/>
      <x:c r="H11" s="77"/>
      <x:c r="I11" s="83"/>
      <x:c r="J11" s="80"/>
      <x:c r="K11" s="77"/>
    </x:row>
    <x:row r="12">
      <x:c r="A12" s="77"/>
      <x:c r="B12" s="77"/>
      <x:c r="C12" s="77"/>
      <x:c r="D12" s="77"/>
      <x:c r="E12" s="77"/>
      <x:c r="F12" s="83"/>
      <x:c r="G12" s="77"/>
      <x:c r="H12" s="77"/>
      <x:c r="I12" s="83"/>
      <x:c r="J12" s="80"/>
      <x:c r="K12" s="77"/>
    </x:row>
    <x:row r="13">
      <x:c r="A13" s="77"/>
      <x:c r="B13" s="77"/>
      <x:c r="C13" s="77"/>
      <x:c r="D13" s="77"/>
      <x:c r="E13" s="77"/>
      <x:c r="F13" s="83"/>
      <x:c r="G13" s="77"/>
      <x:c r="H13" s="77"/>
      <x:c r="I13" s="83"/>
      <x:c r="J13" s="80"/>
      <x:c r="K13" s="77"/>
    </x:row>
    <x:row r="14">
      <x:c r="A14" s="77"/>
      <x:c r="B14" s="77"/>
      <x:c r="C14" s="77"/>
      <x:c r="D14" s="77"/>
      <x:c r="E14" s="77"/>
      <x:c r="F14" s="83"/>
      <x:c r="G14" s="77"/>
      <x:c r="H14" s="77"/>
      <x:c r="I14" s="83"/>
      <x:c r="J14" s="80"/>
      <x:c r="K14" s="77"/>
    </x:row>
    <x:row r="15">
      <x:c r="A15" s="77"/>
      <x:c r="B15" s="77"/>
      <x:c r="C15" s="77"/>
      <x:c r="D15" s="77"/>
      <x:c r="E15" s="77"/>
      <x:c r="F15" s="83"/>
      <x:c r="G15" s="77"/>
      <x:c r="H15" s="77"/>
      <x:c r="I15" s="83"/>
      <x:c r="J15" s="80"/>
      <x:c r="K15" s="77"/>
    </x:row>
    <x:row r="16">
      <x:c r="A16" s="77"/>
      <x:c r="B16" s="77"/>
      <x:c r="C16" s="77"/>
      <x:c r="D16" s="77"/>
      <x:c r="E16" s="77"/>
      <x:c r="F16" s="83"/>
      <x:c r="G16" s="77"/>
      <x:c r="H16" s="77"/>
      <x:c r="I16" s="83"/>
      <x:c r="J16" s="80"/>
      <x:c r="K16" s="77"/>
    </x:row>
    <x:row r="17">
      <x:c r="A17" s="77"/>
      <x:c r="B17" s="77"/>
      <x:c r="C17" s="77"/>
      <x:c r="D17" s="77"/>
      <x:c r="E17" s="77"/>
      <x:c r="F17" s="83"/>
      <x:c r="G17" s="77"/>
      <x:c r="H17" s="77"/>
      <x:c r="I17" s="83"/>
      <x:c r="J17" s="80"/>
      <x:c r="K17" s="77"/>
    </x:row>
    <x:row r="18">
      <x:c r="A18" s="77"/>
      <x:c r="B18" s="77"/>
      <x:c r="C18" s="77"/>
      <x:c r="D18" s="77"/>
      <x:c r="E18" s="77"/>
      <x:c r="F18" s="83"/>
      <x:c r="G18" s="77"/>
      <x:c r="H18" s="77"/>
      <x:c r="I18" s="83"/>
      <x:c r="J18" s="80"/>
      <x:c r="K18" s="77"/>
    </x:row>
    <x:row r="19">
      <x:c r="A19" s="77"/>
      <x:c r="B19" s="77"/>
      <x:c r="C19" s="77"/>
      <x:c r="D19" s="77"/>
      <x:c r="E19" s="77"/>
      <x:c r="F19" s="83"/>
      <x:c r="G19" s="77"/>
      <x:c r="H19" s="77"/>
      <x:c r="I19" s="83"/>
      <x:c r="J19" s="80"/>
      <x:c r="K19" s="77"/>
    </x:row>
    <x:row r="20">
      <x:c r="A20" s="77"/>
      <x:c r="B20" s="77"/>
      <x:c r="C20" s="77"/>
      <x:c r="D20" s="77"/>
      <x:c r="E20" s="77"/>
      <x:c r="F20" s="83"/>
      <x:c r="G20" s="77"/>
      <x:c r="H20" s="77"/>
      <x:c r="I20" s="83"/>
      <x:c r="J20" s="80"/>
      <x:c r="K20" s="77"/>
    </x:row>
    <x:row r="21">
      <x:c r="A21" s="77"/>
      <x:c r="B21" s="77"/>
      <x:c r="C21" s="77"/>
      <x:c r="D21" s="77"/>
      <x:c r="E21" s="77"/>
      <x:c r="F21" s="83"/>
      <x:c r="G21" s="77"/>
      <x:c r="H21" s="77"/>
      <x:c r="I21" s="83"/>
      <x:c r="J21" s="80"/>
      <x:c r="K21" s="77"/>
    </x:row>
    <x:row r="22">
      <x:c r="A22" s="77"/>
      <x:c r="B22" s="77"/>
      <x:c r="C22" s="77"/>
      <x:c r="D22" s="77"/>
      <x:c r="E22" s="77"/>
      <x:c r="F22" s="83"/>
      <x:c r="G22" s="77"/>
      <x:c r="H22" s="77"/>
      <x:c r="I22" s="83"/>
      <x:c r="J22" s="80"/>
      <x:c r="K22" s="77"/>
    </x:row>
    <x:row r="23">
      <x:c r="A23" s="77"/>
      <x:c r="B23" s="77"/>
      <x:c r="C23" s="77"/>
      <x:c r="D23" s="77"/>
      <x:c r="E23" s="77"/>
      <x:c r="F23" s="83"/>
      <x:c r="G23" s="77"/>
      <x:c r="H23" s="77"/>
      <x:c r="I23" s="83"/>
      <x:c r="J23" s="80"/>
      <x:c r="K23" s="77"/>
    </x:row>
    <x:row r="24">
      <x:c r="A24" s="77"/>
      <x:c r="B24" s="77"/>
      <x:c r="C24" s="77"/>
      <x:c r="D24" s="77"/>
      <x:c r="E24" s="77"/>
      <x:c r="F24" s="83"/>
      <x:c r="G24" s="77"/>
      <x:c r="H24" s="77"/>
      <x:c r="I24" s="83"/>
      <x:c r="J24" s="80"/>
      <x:c r="K24" s="77"/>
    </x:row>
    <x:row r="25">
      <x:c r="A25" s="77"/>
      <x:c r="B25" s="77"/>
      <x:c r="C25" s="77"/>
      <x:c r="D25" s="77"/>
      <x:c r="E25" s="77"/>
      <x:c r="F25" s="83"/>
      <x:c r="G25" s="77"/>
      <x:c r="H25" s="77"/>
      <x:c r="I25" s="83"/>
      <x:c r="J25" s="80"/>
      <x:c r="K25" s="77"/>
    </x:row>
    <x:row r="26">
      <x:c r="A26" s="77"/>
      <x:c r="B26" s="77"/>
      <x:c r="C26" s="77"/>
      <x:c r="D26" s="77"/>
      <x:c r="E26" s="77"/>
      <x:c r="F26" s="83"/>
      <x:c r="G26" s="77"/>
      <x:c r="H26" s="77"/>
      <x:c r="I26" s="83"/>
      <x:c r="J26" s="80"/>
      <x:c r="K26" s="77"/>
    </x:row>
    <x:row r="27">
      <x:c r="A27" s="77"/>
      <x:c r="B27" s="77"/>
      <x:c r="C27" s="77"/>
      <x:c r="D27" s="77"/>
      <x:c r="E27" s="77"/>
      <x:c r="F27" s="83"/>
      <x:c r="G27" s="77"/>
      <x:c r="H27" s="77"/>
      <x:c r="I27" s="83"/>
      <x:c r="J27" s="80"/>
      <x:c r="K27" s="77"/>
    </x:row>
    <x:row r="28">
      <x:c r="A28" s="77"/>
      <x:c r="B28" s="77"/>
      <x:c r="C28" s="77"/>
      <x:c r="D28" s="77"/>
      <x:c r="E28" s="77"/>
      <x:c r="F28" s="83"/>
      <x:c r="G28" s="77"/>
      <x:c r="H28" s="77"/>
      <x:c r="I28" s="83"/>
      <x:c r="J28" s="80"/>
      <x:c r="K28" s="77"/>
    </x:row>
    <x:row r="29">
      <x:c r="A29" s="77"/>
      <x:c r="B29" s="77"/>
      <x:c r="C29" s="77"/>
      <x:c r="D29" s="77"/>
      <x:c r="E29" s="77"/>
      <x:c r="F29" s="83"/>
      <x:c r="G29" s="77"/>
      <x:c r="H29" s="77"/>
      <x:c r="I29" s="83"/>
      <x:c r="J29" s="80"/>
      <x:c r="K29" s="77"/>
    </x:row>
    <x:row r="30">
      <x:c r="A30" s="77"/>
      <x:c r="B30" s="77"/>
      <x:c r="C30" s="77"/>
      <x:c r="D30" s="77"/>
      <x:c r="E30" s="77"/>
      <x:c r="F30" s="83"/>
      <x:c r="G30" s="77"/>
      <x:c r="H30" s="77"/>
      <x:c r="I30" s="83"/>
      <x:c r="J30" s="80"/>
      <x:c r="K30" s="77"/>
    </x:row>
    <x:row r="31">
      <x:c r="A31" s="77"/>
      <x:c r="B31" s="77"/>
      <x:c r="C31" s="77"/>
      <x:c r="D31" s="77"/>
      <x:c r="E31" s="77"/>
      <x:c r="F31" s="83"/>
      <x:c r="G31" s="77"/>
      <x:c r="H31" s="77"/>
      <x:c r="I31" s="83"/>
      <x:c r="J31" s="80"/>
      <x:c r="K31" s="77"/>
    </x:row>
    <x:row r="32">
      <x:c r="A32" s="77"/>
      <x:c r="B32" s="77"/>
      <x:c r="C32" s="77"/>
      <x:c r="D32" s="77"/>
      <x:c r="E32" s="77"/>
      <x:c r="F32" s="83"/>
      <x:c r="G32" s="77"/>
      <x:c r="H32" s="77"/>
      <x:c r="I32" s="83"/>
      <x:c r="J32" s="80"/>
      <x:c r="K32" s="77"/>
    </x:row>
    <x:row r="33">
      <x:c r="A33" s="77"/>
      <x:c r="B33" s="77"/>
      <x:c r="C33" s="77"/>
      <x:c r="D33" s="77"/>
      <x:c r="E33" s="77"/>
      <x:c r="F33" s="83"/>
      <x:c r="G33" s="77"/>
      <x:c r="H33" s="77"/>
      <x:c r="I33" s="83"/>
      <x:c r="J33" s="80"/>
      <x:c r="K33" s="77"/>
    </x:row>
    <x:row r="34">
      <x:c r="A34" s="77"/>
      <x:c r="B34" s="77"/>
      <x:c r="C34" s="77"/>
      <x:c r="D34" s="77"/>
      <x:c r="E34" s="77"/>
      <x:c r="F34" s="83"/>
      <x:c r="G34" s="77"/>
      <x:c r="H34" s="77"/>
      <x:c r="I34" s="83"/>
      <x:c r="J34" s="80"/>
      <x:c r="K34" s="77"/>
    </x:row>
    <x:row r="35">
      <x:c r="A35" s="77"/>
      <x:c r="B35" s="77"/>
      <x:c r="C35" s="77"/>
      <x:c r="D35" s="77"/>
      <x:c r="E35" s="77"/>
      <x:c r="F35" s="83"/>
      <x:c r="G35" s="77"/>
      <x:c r="H35" s="77"/>
      <x:c r="I35" s="83"/>
      <x:c r="J35" s="80"/>
      <x:c r="K35" s="77"/>
    </x:row>
    <x:row r="36">
      <x:c r="A36" s="77"/>
      <x:c r="B36" s="77"/>
      <x:c r="C36" s="77"/>
      <x:c r="D36" s="77"/>
      <x:c r="E36" s="77"/>
      <x:c r="F36" s="83"/>
      <x:c r="G36" s="77"/>
      <x:c r="H36" s="77"/>
      <x:c r="I36" s="83"/>
      <x:c r="J36" s="80"/>
      <x:c r="K36" s="77"/>
    </x:row>
    <x:row r="37">
      <x:c r="A37" s="77"/>
      <x:c r="B37" s="77"/>
      <x:c r="C37" s="77"/>
      <x:c r="D37" s="77"/>
      <x:c r="E37" s="77"/>
      <x:c r="F37" s="83"/>
      <x:c r="G37" s="77"/>
      <x:c r="H37" s="77"/>
      <x:c r="I37" s="83"/>
      <x:c r="J37" s="80"/>
      <x:c r="K37" s="77"/>
    </x:row>
    <x:row r="38">
      <x:c r="A38" s="77"/>
      <x:c r="B38" s="77"/>
      <x:c r="C38" s="77"/>
      <x:c r="D38" s="77"/>
      <x:c r="E38" s="77"/>
      <x:c r="F38" s="83"/>
      <x:c r="G38" s="77"/>
      <x:c r="H38" s="77"/>
      <x:c r="I38" s="83"/>
      <x:c r="J38" s="80"/>
      <x:c r="K38" s="77"/>
    </x:row>
    <x:row r="39">
      <x:c r="A39" s="77"/>
      <x:c r="B39" s="77"/>
      <x:c r="C39" s="77"/>
      <x:c r="D39" s="77"/>
      <x:c r="E39" s="77"/>
      <x:c r="F39" s="83"/>
      <x:c r="G39" s="77"/>
      <x:c r="H39" s="77"/>
      <x:c r="I39" s="83"/>
      <x:c r="J39" s="80"/>
      <x:c r="K39" s="77"/>
    </x:row>
    <x:row r="40">
      <x:c r="A40" s="77"/>
      <x:c r="B40" s="77"/>
      <x:c r="C40" s="77"/>
      <x:c r="D40" s="77"/>
      <x:c r="E40" s="77"/>
      <x:c r="F40" s="83"/>
      <x:c r="G40" s="77"/>
      <x:c r="H40" s="77"/>
      <x:c r="I40" s="83"/>
      <x:c r="J40" s="80"/>
      <x:c r="K40" s="77"/>
    </x:row>
    <x:row r="41">
      <x:c r="A41" s="77"/>
      <x:c r="B41" s="77"/>
      <x:c r="C41" s="77"/>
      <x:c r="D41" s="77"/>
      <x:c r="E41" s="77"/>
      <x:c r="F41" s="83"/>
      <x:c r="G41" s="77"/>
      <x:c r="H41" s="77"/>
      <x:c r="I41" s="83"/>
      <x:c r="J41" s="80"/>
      <x:c r="K41" s="77"/>
    </x:row>
    <x:row r="42">
      <x:c r="A42" s="77"/>
      <x:c r="B42" s="77"/>
      <x:c r="C42" s="77"/>
      <x:c r="D42" s="77"/>
      <x:c r="E42" s="77"/>
      <x:c r="F42" s="83"/>
      <x:c r="G42" s="77"/>
      <x:c r="H42" s="77"/>
      <x:c r="I42" s="83"/>
      <x:c r="J42" s="80"/>
      <x:c r="K42" s="77"/>
    </x:row>
    <x:row r="43">
      <x:c r="A43" s="77"/>
      <x:c r="B43" s="77"/>
      <x:c r="C43" s="77"/>
      <x:c r="D43" s="77"/>
      <x:c r="E43" s="77"/>
      <x:c r="F43" s="83"/>
      <x:c r="G43" s="77"/>
      <x:c r="H43" s="77"/>
      <x:c r="I43" s="83"/>
      <x:c r="J43" s="80"/>
      <x:c r="K43" s="77"/>
    </x:row>
    <x:row r="44">
      <x:c r="A44" s="77"/>
      <x:c r="B44" s="77"/>
      <x:c r="C44" s="77"/>
      <x:c r="D44" s="77"/>
      <x:c r="E44" s="77"/>
      <x:c r="F44" s="83"/>
      <x:c r="G44" s="77"/>
      <x:c r="H44" s="77"/>
      <x:c r="I44" s="83"/>
      <x:c r="J44" s="80"/>
      <x:c r="K44" s="77"/>
    </x:row>
    <x:row r="45">
      <x:c r="A45" s="77"/>
      <x:c r="B45" s="77"/>
      <x:c r="C45" s="77"/>
      <x:c r="D45" s="77"/>
      <x:c r="E45" s="77"/>
      <x:c r="F45" s="83"/>
      <x:c r="G45" s="77"/>
      <x:c r="H45" s="77"/>
      <x:c r="I45" s="83"/>
      <x:c r="J45" s="80"/>
      <x:c r="K45" s="77"/>
    </x:row>
    <x:row r="46">
      <x:c r="A46" s="77"/>
      <x:c r="B46" s="77"/>
      <x:c r="C46" s="77"/>
      <x:c r="D46" s="77"/>
      <x:c r="E46" s="77"/>
      <x:c r="F46" s="83"/>
      <x:c r="G46" s="77"/>
      <x:c r="H46" s="77"/>
      <x:c r="I46" s="83"/>
      <x:c r="J46" s="80"/>
      <x:c r="K46" s="77"/>
    </x:row>
    <x:row r="47">
      <x:c r="A47" s="77"/>
      <x:c r="B47" s="77"/>
      <x:c r="C47" s="77"/>
      <x:c r="D47" s="77"/>
      <x:c r="E47" s="77"/>
      <x:c r="F47" s="83"/>
      <x:c r="G47" s="77"/>
      <x:c r="H47" s="77"/>
      <x:c r="I47" s="83"/>
      <x:c r="J47" s="80"/>
      <x:c r="K47" s="77"/>
    </x:row>
    <x:row r="48">
      <x:c r="A48" s="77"/>
      <x:c r="B48" s="77"/>
      <x:c r="C48" s="77"/>
      <x:c r="D48" s="77"/>
      <x:c r="E48" s="77"/>
      <x:c r="F48" s="83"/>
      <x:c r="G48" s="77"/>
      <x:c r="H48" s="77"/>
      <x:c r="I48" s="83"/>
      <x:c r="J48" s="80"/>
      <x:c r="K48" s="77"/>
    </x:row>
    <x:row r="49">
      <x:c r="A49" s="77"/>
      <x:c r="B49" s="77"/>
      <x:c r="C49" s="77"/>
      <x:c r="D49" s="77"/>
      <x:c r="E49" s="77"/>
      <x:c r="F49" s="83"/>
      <x:c r="G49" s="77"/>
      <x:c r="H49" s="77"/>
      <x:c r="I49" s="83"/>
      <x:c r="J49" s="80"/>
      <x:c r="K49" s="77"/>
    </x:row>
    <x:row r="50">
      <x:c r="A50" s="77"/>
      <x:c r="B50" s="77"/>
      <x:c r="C50" s="77"/>
      <x:c r="D50" s="77"/>
      <x:c r="E50" s="77"/>
      <x:c r="F50" s="83"/>
      <x:c r="G50" s="77"/>
      <x:c r="H50" s="77"/>
      <x:c r="I50" s="83"/>
      <x:c r="J50" s="80"/>
      <x:c r="K50" s="77"/>
    </x:row>
    <x:row r="51">
      <x:c r="A51" s="77"/>
      <x:c r="B51" s="77"/>
      <x:c r="C51" s="77"/>
      <x:c r="D51" s="77"/>
      <x:c r="E51" s="77"/>
      <x:c r="F51" s="83"/>
      <x:c r="G51" s="77"/>
      <x:c r="H51" s="77"/>
      <x:c r="I51" s="83"/>
      <x:c r="J51" s="80"/>
      <x:c r="K51" s="77"/>
    </x:row>
    <x:row r="52">
      <x:c r="A52" s="77"/>
      <x:c r="B52" s="77"/>
      <x:c r="C52" s="77"/>
      <x:c r="D52" s="77"/>
      <x:c r="E52" s="77"/>
      <x:c r="F52" s="83"/>
      <x:c r="G52" s="77"/>
      <x:c r="H52" s="77"/>
      <x:c r="I52" s="83"/>
      <x:c r="J52" s="80"/>
      <x:c r="K52" s="77"/>
    </x:row>
    <x:row r="53">
      <x:c r="A53" s="77"/>
      <x:c r="B53" s="77"/>
      <x:c r="C53" s="77"/>
      <x:c r="D53" s="77"/>
      <x:c r="E53" s="77"/>
      <x:c r="F53" s="83"/>
      <x:c r="G53" s="77"/>
      <x:c r="H53" s="77"/>
      <x:c r="I53" s="83"/>
      <x:c r="J53" s="80"/>
      <x:c r="K53" s="77"/>
    </x:row>
    <x:row r="54">
      <x:c r="A54" s="77"/>
      <x:c r="B54" s="77"/>
      <x:c r="C54" s="77"/>
      <x:c r="D54" s="77"/>
      <x:c r="E54" s="77"/>
      <x:c r="F54" s="83"/>
      <x:c r="G54" s="77"/>
      <x:c r="H54" s="77"/>
      <x:c r="I54" s="83"/>
      <x:c r="J54" s="80"/>
      <x:c r="K54" s="77"/>
    </x:row>
    <x:row r="55">
      <x:c r="A55" s="77"/>
      <x:c r="B55" s="77"/>
      <x:c r="C55" s="77"/>
      <x:c r="D55" s="77"/>
      <x:c r="E55" s="77"/>
      <x:c r="F55" s="83"/>
      <x:c r="G55" s="77"/>
      <x:c r="H55" s="77"/>
      <x:c r="I55" s="83"/>
      <x:c r="J55" s="80"/>
      <x:c r="K55" s="77"/>
    </x:row>
    <x:row r="56">
      <x:c r="A56" s="77"/>
      <x:c r="B56" s="77"/>
      <x:c r="C56" s="77"/>
      <x:c r="D56" s="77"/>
      <x:c r="E56" s="77"/>
      <x:c r="F56" s="83"/>
      <x:c r="G56" s="77"/>
      <x:c r="H56" s="77"/>
      <x:c r="I56" s="83"/>
      <x:c r="J56" s="80"/>
      <x:c r="K56" s="77"/>
    </x:row>
    <x:row r="57">
      <x:c r="A57" s="77"/>
      <x:c r="B57" s="77"/>
      <x:c r="C57" s="77"/>
      <x:c r="D57" s="77"/>
      <x:c r="E57" s="77"/>
      <x:c r="F57" s="83"/>
      <x:c r="G57" s="77"/>
      <x:c r="H57" s="77"/>
      <x:c r="I57" s="83"/>
      <x:c r="J57" s="80"/>
      <x:c r="K57" s="77"/>
    </x:row>
    <x:row r="58">
      <x:c r="A58" s="77"/>
      <x:c r="B58" s="77"/>
      <x:c r="C58" s="77"/>
      <x:c r="D58" s="77"/>
      <x:c r="E58" s="77"/>
      <x:c r="F58" s="83"/>
      <x:c r="G58" s="77"/>
      <x:c r="H58" s="77"/>
      <x:c r="I58" s="83"/>
      <x:c r="J58" s="80"/>
      <x:c r="K58" s="77"/>
    </x:row>
    <x:row r="59">
      <x:c r="A59" s="77"/>
      <x:c r="B59" s="77"/>
      <x:c r="C59" s="77"/>
      <x:c r="D59" s="77"/>
      <x:c r="E59" s="77"/>
      <x:c r="F59" s="83"/>
      <x:c r="G59" s="77"/>
      <x:c r="H59" s="77"/>
      <x:c r="I59" s="83"/>
      <x:c r="J59" s="80"/>
      <x:c r="K59" s="77"/>
    </x:row>
    <x:row r="60">
      <x:c r="A60" s="77"/>
      <x:c r="B60" s="77"/>
      <x:c r="C60" s="77"/>
      <x:c r="D60" s="77"/>
      <x:c r="E60" s="77"/>
      <x:c r="F60" s="83"/>
      <x:c r="G60" s="77"/>
      <x:c r="H60" s="77"/>
      <x:c r="I60" s="83"/>
      <x:c r="J60" s="80"/>
      <x:c r="K60" s="77"/>
    </x:row>
    <x:row r="61">
      <x:c r="A61" s="77"/>
      <x:c r="B61" s="77"/>
      <x:c r="C61" s="77"/>
      <x:c r="D61" s="77"/>
      <x:c r="E61" s="77"/>
      <x:c r="F61" s="83"/>
      <x:c r="G61" s="77"/>
      <x:c r="H61" s="77"/>
      <x:c r="I61" s="83"/>
      <x:c r="J61" s="80"/>
      <x:c r="K61" s="77"/>
    </x:row>
    <x:row r="62">
      <x:c r="A62" s="77"/>
      <x:c r="B62" s="77"/>
      <x:c r="C62" s="77"/>
      <x:c r="D62" s="77"/>
      <x:c r="E62" s="77"/>
      <x:c r="F62" s="83"/>
      <x:c r="G62" s="77"/>
      <x:c r="H62" s="77"/>
      <x:c r="I62" s="83"/>
      <x:c r="J62" s="80"/>
      <x:c r="K62" s="77"/>
    </x:row>
    <x:row r="63">
      <x:c r="A63" s="77"/>
      <x:c r="B63" s="77"/>
      <x:c r="C63" s="77"/>
      <x:c r="D63" s="77"/>
      <x:c r="E63" s="77"/>
      <x:c r="F63" s="83"/>
      <x:c r="G63" s="77"/>
      <x:c r="H63" s="77"/>
      <x:c r="I63" s="83"/>
      <x:c r="J63" s="80"/>
      <x:c r="K63" s="77"/>
    </x:row>
    <x:row r="64">
      <x:c r="A64" s="77"/>
      <x:c r="B64" s="77"/>
      <x:c r="C64" s="77"/>
      <x:c r="D64" s="77"/>
      <x:c r="E64" s="77"/>
      <x:c r="F64" s="83"/>
      <x:c r="G64" s="77"/>
      <x:c r="H64" s="77"/>
      <x:c r="I64" s="83"/>
      <x:c r="J64" s="80"/>
      <x:c r="K64" s="77"/>
    </x:row>
    <x:row r="65">
      <x:c r="A65" s="77"/>
      <x:c r="B65" s="77"/>
      <x:c r="C65" s="77"/>
      <x:c r="D65" s="77"/>
      <x:c r="E65" s="77"/>
      <x:c r="F65" s="83"/>
      <x:c r="G65" s="77"/>
      <x:c r="H65" s="77"/>
      <x:c r="I65" s="83"/>
      <x:c r="J65" s="80"/>
      <x:c r="K65" s="77"/>
    </x:row>
    <x:row r="66">
      <x:c r="A66" s="77"/>
      <x:c r="B66" s="77"/>
      <x:c r="C66" s="77"/>
      <x:c r="D66" s="77"/>
      <x:c r="E66" s="77"/>
      <x:c r="F66" s="83"/>
      <x:c r="G66" s="77"/>
      <x:c r="H66" s="77"/>
      <x:c r="I66" s="83"/>
      <x:c r="J66" s="80"/>
      <x:c r="K66" s="77"/>
    </x:row>
    <x:row r="67">
      <x:c r="A67" s="77"/>
      <x:c r="B67" s="77"/>
      <x:c r="C67" s="77"/>
      <x:c r="D67" s="77"/>
      <x:c r="E67" s="77"/>
      <x:c r="F67" s="83"/>
      <x:c r="G67" s="77"/>
      <x:c r="H67" s="77"/>
      <x:c r="I67" s="83"/>
      <x:c r="J67" s="80"/>
      <x:c r="K67" s="77"/>
    </x:row>
    <x:row r="68">
      <x:c r="A68" s="77"/>
      <x:c r="B68" s="77"/>
      <x:c r="C68" s="77"/>
      <x:c r="D68" s="77"/>
      <x:c r="E68" s="77"/>
      <x:c r="F68" s="83"/>
      <x:c r="G68" s="77"/>
      <x:c r="H68" s="77"/>
      <x:c r="I68" s="83"/>
      <x:c r="J68" s="80"/>
      <x:c r="K68" s="77"/>
    </x:row>
    <x:row r="69">
      <x:c r="A69" s="77"/>
      <x:c r="B69" s="77"/>
      <x:c r="C69" s="77"/>
      <x:c r="D69" s="77"/>
      <x:c r="E69" s="77"/>
      <x:c r="F69" s="83"/>
      <x:c r="G69" s="77"/>
      <x:c r="H69" s="77"/>
      <x:c r="I69" s="83"/>
      <x:c r="J69" s="80"/>
      <x:c r="K69" s="77"/>
    </x:row>
    <x:row r="70">
      <x:c r="A70" s="77"/>
      <x:c r="B70" s="77"/>
      <x:c r="C70" s="77"/>
      <x:c r="D70" s="77"/>
      <x:c r="E70" s="77"/>
      <x:c r="F70" s="83"/>
      <x:c r="G70" s="77"/>
      <x:c r="H70" s="77"/>
      <x:c r="I70" s="83"/>
      <x:c r="J70" s="80"/>
      <x:c r="K70" s="77"/>
    </x:row>
    <x:row r="71">
      <x:c r="A71" s="77"/>
      <x:c r="B71" s="77"/>
      <x:c r="C71" s="77"/>
      <x:c r="D71" s="77"/>
      <x:c r="E71" s="77"/>
      <x:c r="F71" s="83"/>
      <x:c r="G71" s="77"/>
      <x:c r="H71" s="77"/>
      <x:c r="I71" s="83"/>
      <x:c r="J71" s="80"/>
      <x:c r="K71" s="77"/>
    </x:row>
    <x:row r="72">
      <x:c r="A72" s="77"/>
      <x:c r="B72" s="77"/>
      <x:c r="C72" s="77"/>
      <x:c r="D72" s="77"/>
      <x:c r="E72" s="77"/>
      <x:c r="F72" s="83"/>
      <x:c r="G72" s="77"/>
      <x:c r="H72" s="77"/>
      <x:c r="I72" s="83"/>
      <x:c r="J72" s="80"/>
      <x:c r="K72" s="77"/>
    </x:row>
    <x:row r="73">
      <x:c r="A73" s="77"/>
      <x:c r="B73" s="77"/>
      <x:c r="C73" s="77"/>
      <x:c r="D73" s="77"/>
      <x:c r="E73" s="77"/>
      <x:c r="F73" s="83"/>
      <x:c r="G73" s="77"/>
      <x:c r="H73" s="77"/>
      <x:c r="I73" s="83"/>
      <x:c r="J73" s="80"/>
      <x:c r="K73" s="77"/>
    </x:row>
    <x:row r="74">
      <x:c r="A74" s="77"/>
      <x:c r="B74" s="77"/>
      <x:c r="C74" s="77"/>
      <x:c r="D74" s="77"/>
      <x:c r="E74" s="77"/>
      <x:c r="F74" s="83"/>
      <x:c r="G74" s="77"/>
      <x:c r="H74" s="77"/>
      <x:c r="I74" s="83"/>
      <x:c r="J74" s="80"/>
      <x:c r="K74" s="77"/>
    </x:row>
    <x:row r="75">
      <x:c r="A75" s="77"/>
      <x:c r="B75" s="77"/>
      <x:c r="C75" s="77"/>
      <x:c r="D75" s="77"/>
      <x:c r="E75" s="77"/>
      <x:c r="F75" s="83"/>
      <x:c r="G75" s="77"/>
      <x:c r="H75" s="77"/>
      <x:c r="I75" s="83"/>
      <x:c r="J75" s="80"/>
      <x:c r="K75" s="77"/>
    </x:row>
    <x:row r="76">
      <x:c r="A76" s="77"/>
      <x:c r="B76" s="77"/>
      <x:c r="C76" s="77"/>
      <x:c r="D76" s="77"/>
      <x:c r="E76" s="77"/>
      <x:c r="F76" s="83"/>
      <x:c r="G76" s="77"/>
      <x:c r="H76" s="77"/>
      <x:c r="I76" s="83"/>
      <x:c r="J76" s="80"/>
      <x:c r="K76" s="77"/>
    </x:row>
    <x:row r="77">
      <x:c r="A77" s="77"/>
      <x:c r="B77" s="77"/>
      <x:c r="C77" s="77"/>
      <x:c r="D77" s="77"/>
      <x:c r="E77" s="77"/>
      <x:c r="F77" s="83"/>
      <x:c r="G77" s="77"/>
      <x:c r="H77" s="77"/>
      <x:c r="I77" s="83"/>
      <x:c r="J77" s="80"/>
      <x:c r="K77" s="77"/>
    </x:row>
    <x:row r="78">
      <x:c r="A78" s="77"/>
      <x:c r="B78" s="77"/>
      <x:c r="C78" s="77"/>
      <x:c r="D78" s="77"/>
      <x:c r="E78" s="77"/>
      <x:c r="F78" s="83"/>
      <x:c r="G78" s="77"/>
      <x:c r="H78" s="77"/>
      <x:c r="I78" s="83"/>
      <x:c r="J78" s="80"/>
      <x:c r="K78" s="77"/>
    </x:row>
    <x:row r="79">
      <x:c r="A79" s="77"/>
      <x:c r="B79" s="77"/>
      <x:c r="C79" s="77"/>
      <x:c r="D79" s="77"/>
      <x:c r="E79" s="77"/>
      <x:c r="F79" s="83"/>
      <x:c r="G79" s="77"/>
      <x:c r="H79" s="77"/>
      <x:c r="I79" s="83"/>
      <x:c r="J79" s="80"/>
      <x:c r="K79" s="77"/>
    </x:row>
    <x:row r="80">
      <x:c r="A80" s="77"/>
      <x:c r="B80" s="77"/>
      <x:c r="C80" s="77"/>
      <x:c r="D80" s="77"/>
      <x:c r="E80" s="77"/>
      <x:c r="F80" s="83"/>
      <x:c r="G80" s="77"/>
      <x:c r="H80" s="77"/>
      <x:c r="I80" s="83"/>
      <x:c r="J80" s="80"/>
      <x:c r="K80" s="77"/>
    </x:row>
    <x:row r="81">
      <x:c r="A81" s="77"/>
      <x:c r="B81" s="77"/>
      <x:c r="C81" s="77"/>
      <x:c r="D81" s="77"/>
      <x:c r="E81" s="77"/>
      <x:c r="F81" s="83"/>
      <x:c r="G81" s="77"/>
      <x:c r="H81" s="77"/>
      <x:c r="I81" s="83"/>
      <x:c r="J81" s="80"/>
      <x:c r="K81" s="77"/>
    </x:row>
    <x:row r="82">
      <x:c r="A82" s="77"/>
      <x:c r="B82" s="77"/>
      <x:c r="C82" s="77"/>
      <x:c r="D82" s="77"/>
      <x:c r="E82" s="77"/>
      <x:c r="F82" s="83"/>
      <x:c r="G82" s="77"/>
      <x:c r="H82" s="77"/>
      <x:c r="I82" s="83"/>
      <x:c r="J82" s="80"/>
      <x:c r="K82" s="77"/>
    </x:row>
    <x:row r="83">
      <x:c r="A83" s="77"/>
      <x:c r="B83" s="77"/>
      <x:c r="C83" s="77"/>
      <x:c r="D83" s="77"/>
      <x:c r="E83" s="77"/>
      <x:c r="F83" s="83"/>
      <x:c r="G83" s="77"/>
      <x:c r="H83" s="77"/>
      <x:c r="I83" s="83"/>
      <x:c r="J83" s="80"/>
      <x:c r="K83" s="77"/>
    </x:row>
    <x:row r="84">
      <x:c r="A84" s="77"/>
      <x:c r="B84" s="77"/>
      <x:c r="C84" s="77"/>
      <x:c r="D84" s="77"/>
      <x:c r="E84" s="77"/>
      <x:c r="F84" s="83"/>
      <x:c r="G84" s="77"/>
      <x:c r="H84" s="77"/>
      <x:c r="I84" s="83"/>
      <x:c r="J84" s="80"/>
      <x:c r="K84" s="77"/>
    </x:row>
    <x:row r="85">
      <x:c r="A85" s="77"/>
      <x:c r="B85" s="77"/>
      <x:c r="C85" s="77"/>
      <x:c r="D85" s="77"/>
      <x:c r="E85" s="77"/>
      <x:c r="F85" s="83"/>
      <x:c r="G85" s="77"/>
      <x:c r="H85" s="77"/>
      <x:c r="I85" s="83"/>
      <x:c r="J85" s="80"/>
      <x:c r="K85" s="77"/>
    </x:row>
    <x:row r="86">
      <x:c r="A86" s="77"/>
      <x:c r="B86" s="77"/>
      <x:c r="C86" s="77"/>
      <x:c r="D86" s="77"/>
      <x:c r="E86" s="77"/>
      <x:c r="F86" s="83"/>
      <x:c r="G86" s="77"/>
      <x:c r="H86" s="77"/>
      <x:c r="I86" s="83"/>
      <x:c r="J86" s="80"/>
      <x:c r="K86" s="77"/>
    </x:row>
    <x:row r="87">
      <x:c r="A87" s="77"/>
      <x:c r="B87" s="77"/>
      <x:c r="C87" s="77"/>
      <x:c r="D87" s="77"/>
      <x:c r="E87" s="77"/>
      <x:c r="F87" s="83"/>
      <x:c r="G87" s="77"/>
      <x:c r="H87" s="77"/>
      <x:c r="I87" s="83"/>
      <x:c r="J87" s="80"/>
      <x:c r="K87" s="77"/>
    </x:row>
    <x:row r="88">
      <x:c r="A88" s="77"/>
      <x:c r="B88" s="77"/>
      <x:c r="C88" s="77"/>
      <x:c r="D88" s="77"/>
      <x:c r="E88" s="77"/>
      <x:c r="F88" s="83"/>
      <x:c r="G88" s="77"/>
      <x:c r="H88" s="77"/>
      <x:c r="I88" s="83"/>
      <x:c r="J88" s="80"/>
      <x:c r="K88" s="77"/>
    </x:row>
    <x:row r="89">
      <x:c r="A89" s="77"/>
      <x:c r="B89" s="77"/>
      <x:c r="C89" s="77"/>
      <x:c r="D89" s="77"/>
      <x:c r="E89" s="77"/>
      <x:c r="F89" s="83"/>
      <x:c r="G89" s="77"/>
      <x:c r="H89" s="77"/>
      <x:c r="I89" s="83"/>
      <x:c r="J89" s="80"/>
      <x:c r="K89" s="77"/>
    </x:row>
    <x:row r="90">
      <x:c r="A90" s="77"/>
      <x:c r="B90" s="77"/>
      <x:c r="C90" s="77"/>
      <x:c r="D90" s="77"/>
      <x:c r="E90" s="77"/>
      <x:c r="F90" s="83"/>
      <x:c r="G90" s="77"/>
      <x:c r="H90" s="77"/>
      <x:c r="I90" s="83"/>
      <x:c r="J90" s="80"/>
      <x:c r="K90" s="77"/>
    </x:row>
    <x:row r="91">
      <x:c r="A91" s="77"/>
      <x:c r="B91" s="77"/>
      <x:c r="C91" s="77"/>
      <x:c r="D91" s="77"/>
      <x:c r="E91" s="77"/>
      <x:c r="F91" s="83"/>
      <x:c r="G91" s="77"/>
      <x:c r="H91" s="77"/>
      <x:c r="I91" s="83"/>
      <x:c r="J91" s="80"/>
      <x:c r="K91" s="77"/>
    </x:row>
    <x:row r="92">
      <x:c r="A92" s="77"/>
      <x:c r="B92" s="77"/>
      <x:c r="C92" s="77"/>
      <x:c r="D92" s="77"/>
      <x:c r="E92" s="77"/>
      <x:c r="F92" s="83"/>
      <x:c r="G92" s="77"/>
      <x:c r="H92" s="77"/>
      <x:c r="I92" s="83"/>
      <x:c r="J92" s="80"/>
      <x:c r="K92" s="77"/>
    </x:row>
    <x:row r="93">
      <x:c r="A93" s="77"/>
      <x:c r="B93" s="77"/>
      <x:c r="C93" s="77"/>
      <x:c r="D93" s="77"/>
      <x:c r="E93" s="77"/>
      <x:c r="F93" s="83"/>
      <x:c r="G93" s="77"/>
      <x:c r="H93" s="77"/>
      <x:c r="I93" s="83"/>
      <x:c r="J93" s="80"/>
      <x:c r="K93" s="77"/>
    </x:row>
    <x:row r="94">
      <x:c r="A94" s="77"/>
      <x:c r="B94" s="77"/>
      <x:c r="C94" s="77"/>
      <x:c r="D94" s="77"/>
      <x:c r="E94" s="77"/>
      <x:c r="F94" s="83"/>
      <x:c r="G94" s="77"/>
      <x:c r="H94" s="77"/>
      <x:c r="I94" s="83"/>
      <x:c r="J94" s="80"/>
      <x:c r="K94" s="77"/>
    </x:row>
    <x:row r="95">
      <x:c r="A95" s="77"/>
      <x:c r="B95" s="77"/>
      <x:c r="C95" s="77"/>
      <x:c r="D95" s="77"/>
      <x:c r="E95" s="77"/>
      <x:c r="F95" s="83"/>
      <x:c r="G95" s="77"/>
      <x:c r="H95" s="77"/>
      <x:c r="I95" s="83"/>
      <x:c r="J95" s="80"/>
      <x:c r="K95" s="77"/>
    </x:row>
    <x:row r="96">
      <x:c r="A96" s="77"/>
      <x:c r="B96" s="77"/>
      <x:c r="C96" s="77"/>
      <x:c r="D96" s="77"/>
      <x:c r="E96" s="77"/>
      <x:c r="F96" s="83"/>
      <x:c r="G96" s="77"/>
      <x:c r="H96" s="77"/>
      <x:c r="I96" s="83"/>
      <x:c r="J96" s="80"/>
      <x:c r="K96" s="77"/>
    </x:row>
    <x:row r="97">
      <x:c r="A97" s="77"/>
      <x:c r="B97" s="77"/>
      <x:c r="C97" s="77"/>
      <x:c r="D97" s="77"/>
      <x:c r="E97" s="77"/>
      <x:c r="F97" s="83"/>
      <x:c r="G97" s="77"/>
      <x:c r="H97" s="77"/>
      <x:c r="I97" s="83"/>
      <x:c r="J97" s="80"/>
      <x:c r="K97" s="77"/>
    </x:row>
    <x:row r="98">
      <x:c r="A98" s="77"/>
      <x:c r="B98" s="77"/>
      <x:c r="C98" s="77"/>
      <x:c r="D98" s="77"/>
      <x:c r="E98" s="77"/>
      <x:c r="F98" s="83"/>
      <x:c r="G98" s="77"/>
      <x:c r="H98" s="77"/>
      <x:c r="I98" s="83"/>
      <x:c r="J98" s="80"/>
      <x:c r="K98" s="77"/>
    </x:row>
    <x:row r="99">
      <x:c r="A99" s="77"/>
      <x:c r="B99" s="77"/>
      <x:c r="C99" s="77"/>
      <x:c r="D99" s="77"/>
      <x:c r="E99" s="77"/>
      <x:c r="F99" s="83"/>
      <x:c r="G99" s="77"/>
      <x:c r="H99" s="77"/>
      <x:c r="I99" s="83"/>
      <x:c r="J99" s="80"/>
      <x:c r="K99" s="77"/>
    </x:row>
    <x:row r="100">
      <x:c r="A100" s="77"/>
      <x:c r="B100" s="77"/>
      <x:c r="C100" s="77"/>
      <x:c r="D100" s="77"/>
      <x:c r="E100" s="77"/>
      <x:c r="F100" s="83"/>
      <x:c r="G100" s="77"/>
      <x:c r="H100" s="77"/>
      <x:c r="I100" s="83"/>
      <x:c r="J100" s="80"/>
      <x:c r="K100" s="77"/>
    </x:row>
    <x:row r="101">
      <x:c r="A101" s="77"/>
      <x:c r="B101" s="77"/>
      <x:c r="C101" s="77"/>
      <x:c r="D101" s="77"/>
      <x:c r="E101" s="77"/>
      <x:c r="F101" s="83"/>
      <x:c r="G101" s="77"/>
      <x:c r="H101" s="77"/>
      <x:c r="I101" s="83"/>
      <x:c r="J101" s="80"/>
      <x:c r="K101" s="77"/>
    </x:row>
    <x:row r="102">
      <x:c r="A102" s="77"/>
      <x:c r="B102" s="77"/>
      <x:c r="C102" s="77"/>
      <x:c r="D102" s="77"/>
      <x:c r="E102" s="77"/>
      <x:c r="F102" s="83"/>
      <x:c r="G102" s="77"/>
      <x:c r="H102" s="77"/>
      <x:c r="I102" s="83"/>
      <x:c r="J102" s="80"/>
      <x:c r="K102" s="77"/>
    </x:row>
    <x:row r="103">
      <x:c r="A103" s="77"/>
      <x:c r="B103" s="77"/>
      <x:c r="C103" s="77"/>
      <x:c r="D103" s="77"/>
      <x:c r="E103" s="77"/>
      <x:c r="F103" s="83"/>
      <x:c r="G103" s="77"/>
      <x:c r="H103" s="77"/>
      <x:c r="I103" s="83"/>
      <x:c r="J103" s="80"/>
      <x:c r="K103" s="77"/>
    </x:row>
    <x:row r="104">
      <x:c r="A104" s="77"/>
      <x:c r="B104" s="77"/>
      <x:c r="C104" s="77"/>
      <x:c r="D104" s="77"/>
      <x:c r="E104" s="77"/>
      <x:c r="F104" s="83"/>
      <x:c r="G104" s="77"/>
      <x:c r="H104" s="77"/>
      <x:c r="I104" s="83"/>
      <x:c r="J104" s="80"/>
      <x:c r="K104" s="77"/>
    </x:row>
    <x:row r="105">
      <x:c r="A105" s="77"/>
      <x:c r="B105" s="77"/>
      <x:c r="C105" s="77"/>
      <x:c r="D105" s="77"/>
      <x:c r="E105" s="77"/>
      <x:c r="F105" s="83"/>
      <x:c r="G105" s="77"/>
      <x:c r="H105" s="77"/>
      <x:c r="I105" s="83"/>
      <x:c r="J105" s="80"/>
      <x:c r="K105" s="77"/>
    </x:row>
    <x:row r="106">
      <x:c r="A106" s="77"/>
      <x:c r="B106" s="77"/>
      <x:c r="C106" s="77"/>
      <x:c r="D106" s="77"/>
      <x:c r="E106" s="77"/>
      <x:c r="F106" s="83"/>
      <x:c r="G106" s="77"/>
      <x:c r="H106" s="77"/>
      <x:c r="I106" s="83"/>
      <x:c r="J106" s="80"/>
      <x:c r="K106" s="77"/>
    </x:row>
    <x:row r="107">
      <x:c r="A107" s="77"/>
      <x:c r="B107" s="77"/>
      <x:c r="C107" s="77"/>
      <x:c r="D107" s="77"/>
      <x:c r="E107" s="77"/>
      <x:c r="F107" s="83"/>
      <x:c r="G107" s="77"/>
      <x:c r="H107" s="77"/>
      <x:c r="I107" s="83"/>
      <x:c r="J107" s="80"/>
      <x:c r="K107" s="77"/>
    </x:row>
    <x:row r="108">
      <x:c r="A108" s="77"/>
      <x:c r="B108" s="77"/>
      <x:c r="C108" s="77"/>
      <x:c r="D108" s="77"/>
      <x:c r="E108" s="77"/>
      <x:c r="F108" s="83"/>
      <x:c r="G108" s="77"/>
      <x:c r="H108" s="77"/>
      <x:c r="I108" s="83"/>
      <x:c r="J108" s="80"/>
      <x:c r="K108" s="77"/>
    </x:row>
    <x:row r="109">
      <x:c r="A109" s="77"/>
      <x:c r="B109" s="77"/>
      <x:c r="C109" s="77"/>
      <x:c r="D109" s="77"/>
      <x:c r="E109" s="77"/>
      <x:c r="F109" s="83"/>
      <x:c r="G109" s="77"/>
      <x:c r="H109" s="77"/>
      <x:c r="I109" s="83"/>
      <x:c r="J109" s="80"/>
      <x:c r="K109" s="77"/>
    </x:row>
    <x:row r="110">
      <x:c r="A110" s="77"/>
      <x:c r="B110" s="77"/>
      <x:c r="C110" s="77"/>
      <x:c r="D110" s="77"/>
      <x:c r="E110" s="77"/>
      <x:c r="F110" s="83"/>
      <x:c r="G110" s="77"/>
      <x:c r="H110" s="77"/>
      <x:c r="I110" s="83"/>
      <x:c r="J110" s="80"/>
      <x:c r="K110" s="77"/>
    </x:row>
    <x:row r="111">
      <x:c r="A111" s="77"/>
      <x:c r="B111" s="77"/>
      <x:c r="C111" s="77"/>
      <x:c r="D111" s="77"/>
      <x:c r="E111" s="77"/>
      <x:c r="F111" s="83"/>
      <x:c r="G111" s="77"/>
      <x:c r="H111" s="77"/>
      <x:c r="I111" s="83"/>
      <x:c r="J111" s="80"/>
      <x:c r="K111" s="77"/>
    </x:row>
    <x:row r="112">
      <x:c r="A112" s="77"/>
      <x:c r="B112" s="77"/>
      <x:c r="C112" s="77"/>
      <x:c r="D112" s="77"/>
      <x:c r="E112" s="77"/>
      <x:c r="F112" s="83"/>
      <x:c r="G112" s="77"/>
      <x:c r="H112" s="77"/>
      <x:c r="I112" s="83"/>
      <x:c r="J112" s="80"/>
      <x:c r="K112" s="77"/>
    </x:row>
    <x:row r="113">
      <x:c r="A113" s="77"/>
      <x:c r="B113" s="77"/>
      <x:c r="C113" s="77"/>
      <x:c r="D113" s="77"/>
      <x:c r="E113" s="77"/>
      <x:c r="F113" s="83"/>
      <x:c r="G113" s="77"/>
      <x:c r="H113" s="77"/>
      <x:c r="I113" s="83"/>
      <x:c r="J113" s="80"/>
      <x:c r="K113" s="77"/>
    </x:row>
    <x:row r="114">
      <x:c r="A114" s="77"/>
      <x:c r="B114" s="77"/>
      <x:c r="C114" s="77"/>
      <x:c r="D114" s="77"/>
      <x:c r="E114" s="77"/>
      <x:c r="F114" s="83"/>
      <x:c r="G114" s="77"/>
      <x:c r="H114" s="77"/>
      <x:c r="I114" s="83"/>
      <x:c r="J114" s="80"/>
      <x:c r="K114" s="77"/>
    </x:row>
    <x:row r="115">
      <x:c r="A115" s="77"/>
      <x:c r="B115" s="77"/>
      <x:c r="C115" s="77"/>
      <x:c r="D115" s="77"/>
      <x:c r="E115" s="77"/>
      <x:c r="F115" s="83"/>
      <x:c r="G115" s="77"/>
      <x:c r="H115" s="77"/>
      <x:c r="I115" s="83"/>
      <x:c r="J115" s="80"/>
      <x:c r="K115" s="77"/>
    </x:row>
    <x:row r="116">
      <x:c r="A116" s="77"/>
      <x:c r="B116" s="77"/>
      <x:c r="C116" s="77"/>
      <x:c r="D116" s="77"/>
      <x:c r="E116" s="77"/>
      <x:c r="F116" s="83"/>
      <x:c r="G116" s="77"/>
      <x:c r="H116" s="77"/>
      <x:c r="I116" s="83"/>
      <x:c r="J116" s="80"/>
      <x:c r="K116" s="77"/>
    </x:row>
    <x:row r="117">
      <x:c r="A117" s="77"/>
      <x:c r="B117" s="77"/>
      <x:c r="C117" s="77"/>
      <x:c r="D117" s="77"/>
      <x:c r="E117" s="77"/>
      <x:c r="F117" s="83"/>
      <x:c r="G117" s="77"/>
      <x:c r="H117" s="77"/>
      <x:c r="I117" s="83"/>
      <x:c r="J117" s="80"/>
      <x:c r="K117" s="77"/>
    </x:row>
    <x:row r="118">
      <x:c r="A118" s="77"/>
      <x:c r="B118" s="77"/>
      <x:c r="C118" s="77"/>
      <x:c r="D118" s="77"/>
      <x:c r="E118" s="77"/>
      <x:c r="F118" s="83"/>
      <x:c r="G118" s="77"/>
      <x:c r="H118" s="77"/>
      <x:c r="I118" s="83"/>
      <x:c r="J118" s="80"/>
      <x:c r="K118" s="77"/>
    </x:row>
    <x:row r="119">
      <x:c r="A119" s="77"/>
      <x:c r="B119" s="77"/>
      <x:c r="C119" s="77"/>
      <x:c r="D119" s="77"/>
      <x:c r="E119" s="77"/>
      <x:c r="F119" s="83"/>
      <x:c r="G119" s="77"/>
      <x:c r="H119" s="77"/>
      <x:c r="I119" s="83"/>
      <x:c r="J119" s="80"/>
      <x:c r="K119" s="77"/>
    </x:row>
    <x:row r="120">
      <x:c r="A120" s="77"/>
      <x:c r="B120" s="77"/>
      <x:c r="C120" s="77"/>
      <x:c r="D120" s="77"/>
      <x:c r="E120" s="77"/>
      <x:c r="F120" s="83"/>
      <x:c r="G120" s="77"/>
      <x:c r="H120" s="77"/>
      <x:c r="I120" s="83"/>
      <x:c r="J120" s="80"/>
      <x:c r="K120" s="77"/>
    </x:row>
    <x:row r="121">
      <x:c r="A121" s="77"/>
      <x:c r="B121" s="77"/>
      <x:c r="C121" s="77"/>
      <x:c r="D121" s="77"/>
      <x:c r="E121" s="77"/>
      <x:c r="F121" s="83"/>
      <x:c r="G121" s="77"/>
      <x:c r="H121" s="77"/>
      <x:c r="I121" s="83"/>
      <x:c r="J121" s="80"/>
      <x:c r="K121" s="77"/>
    </x:row>
    <x:row r="122">
      <x:c r="A122" s="77"/>
      <x:c r="B122" s="77"/>
      <x:c r="C122" s="77"/>
      <x:c r="D122" s="77"/>
      <x:c r="E122" s="77"/>
      <x:c r="F122" s="83"/>
      <x:c r="G122" s="77"/>
      <x:c r="H122" s="77"/>
      <x:c r="I122" s="83"/>
      <x:c r="J122" s="80"/>
      <x:c r="K122" s="77"/>
    </x:row>
    <x:row r="123">
      <x:c r="A123" s="77"/>
      <x:c r="B123" s="77"/>
      <x:c r="C123" s="77"/>
      <x:c r="D123" s="77"/>
      <x:c r="E123" s="77"/>
      <x:c r="F123" s="83"/>
      <x:c r="G123" s="77"/>
      <x:c r="H123" s="77"/>
      <x:c r="I123" s="83"/>
      <x:c r="J123" s="80"/>
      <x:c r="K123" s="77"/>
    </x:row>
    <x:row r="124">
      <x:c r="A124" s="77"/>
      <x:c r="B124" s="77"/>
      <x:c r="C124" s="77"/>
      <x:c r="D124" s="77"/>
      <x:c r="E124" s="77"/>
      <x:c r="F124" s="83"/>
      <x:c r="G124" s="77"/>
      <x:c r="H124" s="77"/>
      <x:c r="I124" s="83"/>
      <x:c r="J124" s="80"/>
      <x:c r="K124" s="77"/>
    </x:row>
    <x:row r="125">
      <x:c r="A125" s="77"/>
      <x:c r="B125" s="77"/>
      <x:c r="C125" s="77"/>
      <x:c r="D125" s="77"/>
      <x:c r="E125" s="77"/>
      <x:c r="F125" s="83"/>
      <x:c r="G125" s="77"/>
      <x:c r="H125" s="77"/>
      <x:c r="I125" s="83"/>
      <x:c r="J125" s="80"/>
      <x:c r="K125" s="77"/>
    </x:row>
    <x:row r="126">
      <x:c r="A126" s="77"/>
      <x:c r="B126" s="77"/>
      <x:c r="C126" s="77"/>
      <x:c r="D126" s="77"/>
      <x:c r="E126" s="77"/>
      <x:c r="F126" s="83"/>
      <x:c r="G126" s="77"/>
      <x:c r="H126" s="77"/>
      <x:c r="I126" s="83"/>
      <x:c r="J126" s="80"/>
      <x:c r="K126" s="77"/>
    </x:row>
    <x:row r="127">
      <x:c r="A127" s="77"/>
      <x:c r="B127" s="77"/>
      <x:c r="C127" s="77"/>
      <x:c r="D127" s="77"/>
      <x:c r="E127" s="77"/>
      <x:c r="F127" s="83"/>
      <x:c r="G127" s="77"/>
      <x:c r="H127" s="77"/>
      <x:c r="I127" s="83"/>
      <x:c r="J127" s="80"/>
      <x:c r="K127" s="77"/>
    </x:row>
    <x:row r="128">
      <x:c r="A128" s="77"/>
      <x:c r="B128" s="77"/>
      <x:c r="C128" s="77"/>
      <x:c r="D128" s="77"/>
      <x:c r="E128" s="77"/>
      <x:c r="F128" s="83"/>
      <x:c r="G128" s="77"/>
      <x:c r="H128" s="77"/>
      <x:c r="I128" s="83"/>
      <x:c r="J128" s="80"/>
      <x:c r="K128" s="77"/>
    </x:row>
    <x:row r="129">
      <x:c r="A129" s="77"/>
      <x:c r="B129" s="77"/>
      <x:c r="C129" s="77"/>
      <x:c r="D129" s="77"/>
      <x:c r="E129" s="77"/>
      <x:c r="F129" s="83"/>
      <x:c r="G129" s="77"/>
      <x:c r="H129" s="77"/>
      <x:c r="I129" s="83"/>
      <x:c r="J129" s="80"/>
      <x:c r="K129" s="77"/>
    </x:row>
    <x:row r="130">
      <x:c r="A130" s="77"/>
      <x:c r="B130" s="77"/>
      <x:c r="C130" s="77"/>
      <x:c r="D130" s="77"/>
      <x:c r="E130" s="77"/>
      <x:c r="F130" s="83"/>
      <x:c r="G130" s="77"/>
      <x:c r="H130" s="77"/>
      <x:c r="I130" s="83"/>
      <x:c r="J130" s="80"/>
      <x:c r="K130" s="77"/>
    </x:row>
    <x:row r="131">
      <x:c r="A131" s="77"/>
      <x:c r="B131" s="77"/>
      <x:c r="C131" s="77"/>
      <x:c r="D131" s="77"/>
      <x:c r="E131" s="77"/>
      <x:c r="F131" s="83"/>
      <x:c r="G131" s="77"/>
      <x:c r="H131" s="77"/>
      <x:c r="I131" s="83"/>
      <x:c r="J131" s="80"/>
      <x:c r="K131" s="77"/>
    </x:row>
    <x:row r="132">
      <x:c r="A132" s="77"/>
      <x:c r="B132" s="77"/>
      <x:c r="C132" s="77"/>
      <x:c r="D132" s="77"/>
      <x:c r="E132" s="77"/>
      <x:c r="F132" s="83"/>
      <x:c r="G132" s="77"/>
      <x:c r="H132" s="77"/>
      <x:c r="I132" s="83"/>
      <x:c r="J132" s="80"/>
      <x:c r="K132" s="77"/>
    </x:row>
    <x:row r="133">
      <x:c r="A133" s="77"/>
      <x:c r="B133" s="77"/>
      <x:c r="C133" s="77"/>
      <x:c r="D133" s="77"/>
      <x:c r="E133" s="77"/>
      <x:c r="F133" s="83"/>
      <x:c r="G133" s="77"/>
      <x:c r="H133" s="77"/>
      <x:c r="I133" s="83"/>
      <x:c r="J133" s="80"/>
      <x:c r="K133" s="77"/>
    </x:row>
    <x:row r="134">
      <x:c r="A134" s="77"/>
      <x:c r="B134" s="77"/>
      <x:c r="C134" s="77"/>
      <x:c r="D134" s="77"/>
      <x:c r="E134" s="77"/>
      <x:c r="F134" s="83"/>
      <x:c r="G134" s="77"/>
      <x:c r="H134" s="77"/>
      <x:c r="I134" s="83"/>
      <x:c r="J134" s="80"/>
      <x:c r="K134" s="77"/>
    </x:row>
    <x:row r="135">
      <x:c r="A135" s="77"/>
      <x:c r="B135" s="77"/>
      <x:c r="C135" s="77"/>
      <x:c r="D135" s="77"/>
      <x:c r="E135" s="77"/>
      <x:c r="F135" s="83"/>
      <x:c r="G135" s="77"/>
      <x:c r="H135" s="77"/>
      <x:c r="I135" s="83"/>
      <x:c r="J135" s="80"/>
      <x:c r="K135" s="77"/>
    </x:row>
    <x:row r="136">
      <x:c r="A136" s="77"/>
      <x:c r="B136" s="77"/>
      <x:c r="C136" s="77"/>
      <x:c r="D136" s="77"/>
      <x:c r="E136" s="77"/>
      <x:c r="F136" s="83"/>
      <x:c r="G136" s="77"/>
      <x:c r="H136" s="77"/>
      <x:c r="I136" s="83"/>
      <x:c r="J136" s="80"/>
      <x:c r="K136" s="77"/>
    </x:row>
    <x:row r="137">
      <x:c r="A137" s="77"/>
      <x:c r="B137" s="77"/>
      <x:c r="C137" s="77"/>
      <x:c r="D137" s="77"/>
      <x:c r="E137" s="77"/>
      <x:c r="F137" s="83"/>
      <x:c r="G137" s="77"/>
      <x:c r="H137" s="77"/>
      <x:c r="I137" s="83"/>
      <x:c r="J137" s="80"/>
      <x:c r="K137" s="77"/>
    </x:row>
    <x:row r="138">
      <x:c r="A138" s="77"/>
      <x:c r="B138" s="77"/>
      <x:c r="C138" s="77"/>
      <x:c r="D138" s="77"/>
      <x:c r="E138" s="77"/>
      <x:c r="F138" s="83"/>
      <x:c r="G138" s="77"/>
      <x:c r="H138" s="77"/>
      <x:c r="I138" s="83"/>
      <x:c r="J138" s="80"/>
      <x:c r="K138" s="77"/>
    </x:row>
    <x:row r="139">
      <x:c r="A139" s="77"/>
      <x:c r="B139" s="77"/>
      <x:c r="C139" s="77"/>
      <x:c r="D139" s="77"/>
      <x:c r="E139" s="77"/>
      <x:c r="F139" s="83"/>
      <x:c r="G139" s="77"/>
      <x:c r="H139" s="77"/>
      <x:c r="I139" s="83"/>
      <x:c r="J139" s="80"/>
      <x:c r="K139" s="77"/>
    </x:row>
    <x:row r="140">
      <x:c r="A140" s="77"/>
      <x:c r="B140" s="77"/>
      <x:c r="C140" s="77"/>
      <x:c r="D140" s="77"/>
      <x:c r="E140" s="77"/>
      <x:c r="F140" s="83"/>
      <x:c r="G140" s="77"/>
      <x:c r="H140" s="77"/>
      <x:c r="I140" s="83"/>
      <x:c r="J140" s="80"/>
      <x:c r="K140" s="77"/>
    </x:row>
    <x:row r="141">
      <x:c r="A141" s="77"/>
      <x:c r="B141" s="77"/>
      <x:c r="C141" s="77"/>
      <x:c r="D141" s="77"/>
      <x:c r="E141" s="77"/>
      <x:c r="F141" s="83"/>
      <x:c r="G141" s="77"/>
      <x:c r="H141" s="77"/>
      <x:c r="I141" s="83"/>
      <x:c r="J141" s="80"/>
      <x:c r="K141" s="77"/>
    </x:row>
    <x:row r="142">
      <x:c r="A142" s="77"/>
      <x:c r="B142" s="77"/>
      <x:c r="C142" s="77"/>
      <x:c r="D142" s="77"/>
      <x:c r="E142" s="77"/>
      <x:c r="F142" s="83"/>
      <x:c r="G142" s="77"/>
      <x:c r="H142" s="77"/>
      <x:c r="I142" s="83"/>
      <x:c r="J142" s="80"/>
      <x:c r="K142" s="77"/>
    </x:row>
    <x:row r="143">
      <x:c r="A143" s="77"/>
      <x:c r="B143" s="77"/>
      <x:c r="C143" s="77"/>
      <x:c r="D143" s="77"/>
      <x:c r="E143" s="77"/>
      <x:c r="F143" s="83"/>
      <x:c r="G143" s="77"/>
      <x:c r="H143" s="77"/>
      <x:c r="I143" s="83"/>
      <x:c r="J143" s="80"/>
      <x:c r="K143" s="77"/>
    </x:row>
    <x:row r="144">
      <x:c r="A144" s="77"/>
      <x:c r="B144" s="77"/>
      <x:c r="C144" s="77"/>
      <x:c r="D144" s="77"/>
      <x:c r="E144" s="77"/>
      <x:c r="F144" s="83"/>
      <x:c r="G144" s="77"/>
      <x:c r="H144" s="77"/>
      <x:c r="I144" s="83"/>
      <x:c r="J144" s="80"/>
      <x:c r="K144" s="77"/>
    </x:row>
    <x:row r="145">
      <x:c r="A145" s="77"/>
      <x:c r="B145" s="77"/>
      <x:c r="C145" s="77"/>
      <x:c r="D145" s="77"/>
      <x:c r="E145" s="77"/>
      <x:c r="F145" s="83"/>
      <x:c r="G145" s="77"/>
      <x:c r="H145" s="77"/>
      <x:c r="I145" s="83"/>
      <x:c r="J145" s="80"/>
      <x:c r="K145" s="77"/>
    </x:row>
    <x:row r="146">
      <x:c r="A146" s="77"/>
      <x:c r="B146" s="77"/>
      <x:c r="C146" s="77"/>
      <x:c r="D146" s="77"/>
      <x:c r="E146" s="77"/>
      <x:c r="F146" s="83"/>
      <x:c r="G146" s="77"/>
      <x:c r="H146" s="77"/>
      <x:c r="I146" s="83"/>
      <x:c r="J146" s="80"/>
      <x:c r="K146" s="77"/>
    </x:row>
    <x:row r="147">
      <x:c r="A147" s="77"/>
      <x:c r="B147" s="77"/>
      <x:c r="C147" s="77"/>
      <x:c r="D147" s="77"/>
      <x:c r="E147" s="77"/>
      <x:c r="F147" s="83"/>
      <x:c r="G147" s="77"/>
      <x:c r="H147" s="77"/>
      <x:c r="I147" s="83"/>
      <x:c r="J147" s="80"/>
      <x:c r="K147" s="77"/>
    </x:row>
    <x:row r="148">
      <x:c r="A148" s="77"/>
      <x:c r="B148" s="77"/>
      <x:c r="C148" s="77"/>
      <x:c r="D148" s="77"/>
      <x:c r="E148" s="77"/>
      <x:c r="F148" s="83"/>
      <x:c r="G148" s="77"/>
      <x:c r="H148" s="77"/>
      <x:c r="I148" s="83"/>
      <x:c r="J148" s="80"/>
      <x:c r="K148" s="77"/>
    </x:row>
    <x:row r="149">
      <x:c r="A149" s="77"/>
      <x:c r="B149" s="77"/>
      <x:c r="C149" s="77"/>
      <x:c r="D149" s="77"/>
      <x:c r="E149" s="77"/>
      <x:c r="F149" s="83"/>
      <x:c r="G149" s="77"/>
      <x:c r="H149" s="77"/>
      <x:c r="I149" s="83"/>
      <x:c r="J149" s="80"/>
      <x:c r="K149" s="77"/>
    </x:row>
    <x:row r="150">
      <x:c r="A150" s="77"/>
      <x:c r="B150" s="77"/>
      <x:c r="C150" s="77"/>
      <x:c r="D150" s="77"/>
      <x:c r="E150" s="77"/>
      <x:c r="F150" s="83"/>
      <x:c r="G150" s="77"/>
      <x:c r="H150" s="77"/>
      <x:c r="I150" s="83"/>
      <x:c r="J150" s="80"/>
      <x:c r="K150" s="77"/>
    </x:row>
    <x:row r="151">
      <x:c r="A151" s="77"/>
      <x:c r="B151" s="77"/>
      <x:c r="C151" s="77"/>
      <x:c r="D151" s="77"/>
      <x:c r="E151" s="77"/>
      <x:c r="F151" s="83"/>
      <x:c r="G151" s="77"/>
      <x:c r="H151" s="77"/>
      <x:c r="I151" s="83"/>
      <x:c r="J151" s="80"/>
      <x:c r="K151" s="77"/>
    </x:row>
    <x:row r="152">
      <x:c r="A152" s="77"/>
      <x:c r="B152" s="77"/>
      <x:c r="C152" s="77"/>
      <x:c r="D152" s="77"/>
      <x:c r="E152" s="77"/>
      <x:c r="F152" s="83"/>
      <x:c r="G152" s="77"/>
      <x:c r="H152" s="77"/>
      <x:c r="I152" s="83"/>
      <x:c r="J152" s="80"/>
      <x:c r="K152" s="77"/>
    </x:row>
    <x:row r="153">
      <x:c r="A153" s="77"/>
      <x:c r="B153" s="77"/>
      <x:c r="C153" s="77"/>
      <x:c r="D153" s="77"/>
      <x:c r="E153" s="77"/>
      <x:c r="F153" s="83"/>
      <x:c r="G153" s="77"/>
      <x:c r="H153" s="77"/>
      <x:c r="I153" s="83"/>
      <x:c r="J153" s="80"/>
      <x:c r="K153" s="77"/>
    </x:row>
    <x:row r="154">
      <x:c r="A154" s="77"/>
      <x:c r="B154" s="77"/>
      <x:c r="C154" s="77"/>
      <x:c r="D154" s="77"/>
      <x:c r="E154" s="77"/>
      <x:c r="F154" s="83"/>
      <x:c r="G154" s="77"/>
      <x:c r="H154" s="77"/>
      <x:c r="I154" s="83"/>
      <x:c r="J154" s="80"/>
      <x:c r="K154" s="77"/>
    </x:row>
    <x:row r="155">
      <x:c r="A155" s="77"/>
      <x:c r="B155" s="77"/>
      <x:c r="C155" s="77"/>
      <x:c r="D155" s="77"/>
      <x:c r="E155" s="77"/>
      <x:c r="F155" s="83"/>
      <x:c r="G155" s="77"/>
      <x:c r="H155" s="77"/>
      <x:c r="I155" s="83"/>
      <x:c r="J155" s="80"/>
      <x:c r="K155" s="77"/>
    </x:row>
    <x:row r="156">
      <x:c r="A156" s="77"/>
      <x:c r="B156" s="77"/>
      <x:c r="C156" s="77"/>
      <x:c r="D156" s="77"/>
      <x:c r="E156" s="77"/>
      <x:c r="F156" s="83"/>
      <x:c r="G156" s="77"/>
      <x:c r="H156" s="77"/>
      <x:c r="I156" s="83"/>
      <x:c r="J156" s="80"/>
      <x:c r="K156" s="77"/>
    </x:row>
    <x:row r="157">
      <x:c r="A157" s="77"/>
      <x:c r="B157" s="77"/>
      <x:c r="C157" s="77"/>
      <x:c r="D157" s="77"/>
      <x:c r="E157" s="77"/>
      <x:c r="F157" s="83"/>
      <x:c r="G157" s="77"/>
      <x:c r="H157" s="77"/>
      <x:c r="I157" s="83"/>
      <x:c r="J157" s="80"/>
      <x:c r="K157" s="77"/>
    </x:row>
    <x:row r="158">
      <x:c r="A158" s="77"/>
      <x:c r="B158" s="77"/>
      <x:c r="C158" s="77"/>
      <x:c r="D158" s="77"/>
      <x:c r="E158" s="77"/>
      <x:c r="F158" s="83"/>
      <x:c r="G158" s="77"/>
      <x:c r="H158" s="77"/>
      <x:c r="I158" s="83"/>
      <x:c r="J158" s="80"/>
      <x:c r="K158" s="77"/>
    </x:row>
    <x:row r="159">
      <x:c r="A159" s="77"/>
      <x:c r="B159" s="77"/>
      <x:c r="C159" s="77"/>
      <x:c r="D159" s="77"/>
      <x:c r="E159" s="77"/>
      <x:c r="F159" s="83"/>
      <x:c r="G159" s="77"/>
      <x:c r="H159" s="77"/>
      <x:c r="I159" s="83"/>
      <x:c r="J159" s="80"/>
      <x:c r="K159" s="77"/>
    </x:row>
    <x:row r="160">
      <x:c r="A160" s="77"/>
      <x:c r="B160" s="77"/>
      <x:c r="C160" s="77"/>
      <x:c r="D160" s="77"/>
      <x:c r="E160" s="77"/>
      <x:c r="F160" s="83"/>
      <x:c r="G160" s="77"/>
      <x:c r="H160" s="77"/>
      <x:c r="I160" s="83"/>
      <x:c r="J160" s="80"/>
      <x:c r="K160" s="77"/>
    </x:row>
    <x:row r="161">
      <x:c r="A161" s="77"/>
      <x:c r="B161" s="77"/>
      <x:c r="C161" s="77"/>
      <x:c r="D161" s="77"/>
      <x:c r="E161" s="77"/>
      <x:c r="F161" s="83"/>
      <x:c r="G161" s="77"/>
      <x:c r="H161" s="77"/>
      <x:c r="I161" s="83"/>
      <x:c r="J161" s="80"/>
      <x:c r="K161" s="77"/>
    </x:row>
    <x:row r="162">
      <x:c r="A162" s="77"/>
      <x:c r="B162" s="77"/>
      <x:c r="C162" s="77"/>
      <x:c r="D162" s="77"/>
      <x:c r="E162" s="77"/>
      <x:c r="F162" s="83"/>
      <x:c r="G162" s="77"/>
      <x:c r="H162" s="77"/>
      <x:c r="I162" s="83"/>
      <x:c r="J162" s="80"/>
      <x:c r="K162" s="77"/>
    </x:row>
    <x:row r="163">
      <x:c r="A163" s="77"/>
      <x:c r="B163" s="77"/>
      <x:c r="C163" s="77"/>
      <x:c r="D163" s="77"/>
      <x:c r="E163" s="77"/>
      <x:c r="F163" s="83"/>
      <x:c r="G163" s="77"/>
      <x:c r="H163" s="77"/>
      <x:c r="I163" s="83"/>
      <x:c r="J163" s="80"/>
      <x:c r="K163" s="77"/>
    </x:row>
    <x:row r="164">
      <x:c r="A164" s="77"/>
      <x:c r="B164" s="77"/>
      <x:c r="C164" s="77"/>
      <x:c r="D164" s="77"/>
      <x:c r="E164" s="77"/>
      <x:c r="F164" s="83"/>
      <x:c r="G164" s="77"/>
      <x:c r="H164" s="77"/>
      <x:c r="I164" s="83"/>
      <x:c r="J164" s="80"/>
      <x:c r="K164" s="77"/>
    </x:row>
    <x:row r="165">
      <x:c r="A165" s="77"/>
      <x:c r="B165" s="77"/>
      <x:c r="C165" s="77"/>
      <x:c r="D165" s="77"/>
      <x:c r="E165" s="77"/>
      <x:c r="F165" s="83"/>
      <x:c r="G165" s="77"/>
      <x:c r="H165" s="77"/>
      <x:c r="I165" s="83"/>
      <x:c r="J165" s="80"/>
      <x:c r="K165" s="77"/>
    </x:row>
    <x:row r="166">
      <x:c r="A166" s="77"/>
      <x:c r="B166" s="77"/>
      <x:c r="C166" s="77"/>
      <x:c r="D166" s="77"/>
      <x:c r="E166" s="77"/>
      <x:c r="F166" s="83"/>
      <x:c r="G166" s="77"/>
      <x:c r="H166" s="77"/>
      <x:c r="I166" s="83"/>
      <x:c r="J166" s="80"/>
      <x:c r="K166" s="77"/>
    </x:row>
    <x:row r="167">
      <x:c r="A167" s="77"/>
      <x:c r="B167" s="77"/>
      <x:c r="C167" s="77"/>
      <x:c r="D167" s="77"/>
      <x:c r="E167" s="77"/>
      <x:c r="F167" s="83"/>
      <x:c r="G167" s="77"/>
      <x:c r="H167" s="77"/>
      <x:c r="I167" s="83"/>
      <x:c r="J167" s="80"/>
      <x:c r="K167" s="77"/>
    </x:row>
    <x:row r="168">
      <x:c r="A168" s="77"/>
      <x:c r="B168" s="77"/>
      <x:c r="C168" s="77"/>
      <x:c r="D168" s="77"/>
      <x:c r="E168" s="77"/>
      <x:c r="F168" s="83"/>
      <x:c r="G168" s="77"/>
      <x:c r="H168" s="77"/>
      <x:c r="I168" s="83"/>
      <x:c r="J168" s="80"/>
      <x:c r="K168" s="77"/>
    </x:row>
    <x:row r="169">
      <x:c r="A169" s="77"/>
      <x:c r="B169" s="77"/>
      <x:c r="C169" s="77"/>
      <x:c r="D169" s="77"/>
      <x:c r="E169" s="77"/>
      <x:c r="F169" s="83"/>
      <x:c r="G169" s="77"/>
      <x:c r="H169" s="77"/>
      <x:c r="I169" s="83"/>
      <x:c r="J169" s="80"/>
      <x:c r="K169" s="77"/>
    </x:row>
    <x:row r="170">
      <x:c r="A170" s="77"/>
      <x:c r="B170" s="77"/>
      <x:c r="C170" s="77"/>
      <x:c r="D170" s="77"/>
      <x:c r="E170" s="77"/>
      <x:c r="F170" s="83"/>
      <x:c r="G170" s="77"/>
      <x:c r="H170" s="77"/>
      <x:c r="I170" s="83"/>
      <x:c r="J170" s="80"/>
      <x:c r="K170" s="77"/>
    </x:row>
    <x:row r="171">
      <x:c r="A171" s="77"/>
      <x:c r="B171" s="77"/>
      <x:c r="C171" s="77"/>
      <x:c r="D171" s="77"/>
      <x:c r="E171" s="77"/>
      <x:c r="F171" s="83"/>
      <x:c r="G171" s="77"/>
      <x:c r="H171" s="77"/>
      <x:c r="I171" s="83"/>
      <x:c r="J171" s="80"/>
      <x:c r="K171" s="77"/>
    </x:row>
    <x:row r="172">
      <x:c r="A172" s="77"/>
      <x:c r="B172" s="77"/>
      <x:c r="C172" s="77"/>
      <x:c r="D172" s="77"/>
      <x:c r="E172" s="77"/>
      <x:c r="F172" s="83"/>
      <x:c r="G172" s="77"/>
      <x:c r="H172" s="77"/>
      <x:c r="I172" s="83"/>
      <x:c r="J172" s="80"/>
      <x:c r="K172" s="77"/>
    </x:row>
    <x:row r="173">
      <x:c r="A173" s="77"/>
      <x:c r="B173" s="77"/>
      <x:c r="C173" s="77"/>
      <x:c r="D173" s="77"/>
      <x:c r="E173" s="77"/>
      <x:c r="F173" s="83"/>
      <x:c r="G173" s="77"/>
      <x:c r="H173" s="77"/>
      <x:c r="I173" s="83"/>
      <x:c r="J173" s="80"/>
      <x:c r="K173" s="77"/>
    </x:row>
    <x:row r="174">
      <x:c r="A174" s="77"/>
      <x:c r="B174" s="77"/>
      <x:c r="C174" s="77"/>
      <x:c r="D174" s="77"/>
      <x:c r="E174" s="77"/>
      <x:c r="F174" s="83"/>
      <x:c r="G174" s="77"/>
      <x:c r="H174" s="77"/>
      <x:c r="I174" s="83"/>
      <x:c r="J174" s="80"/>
      <x:c r="K174" s="77"/>
    </x:row>
    <x:row r="175">
      <x:c r="A175" s="77"/>
      <x:c r="B175" s="77"/>
      <x:c r="C175" s="77"/>
      <x:c r="D175" s="77"/>
      <x:c r="E175" s="77"/>
      <x:c r="F175" s="83"/>
      <x:c r="G175" s="77"/>
      <x:c r="H175" s="77"/>
      <x:c r="I175" s="83"/>
      <x:c r="J175" s="80"/>
      <x:c r="K175" s="77"/>
    </x:row>
    <x:row r="176">
      <x:c r="A176" s="77"/>
      <x:c r="B176" s="77"/>
      <x:c r="C176" s="77"/>
      <x:c r="D176" s="77"/>
      <x:c r="E176" s="77"/>
      <x:c r="F176" s="83"/>
      <x:c r="G176" s="77"/>
      <x:c r="H176" s="77"/>
      <x:c r="I176" s="83"/>
      <x:c r="J176" s="80"/>
      <x:c r="K176" s="77"/>
    </x:row>
    <x:row r="177">
      <x:c r="A177" s="77"/>
      <x:c r="B177" s="77"/>
      <x:c r="C177" s="77"/>
      <x:c r="D177" s="77"/>
      <x:c r="E177" s="77"/>
      <x:c r="F177" s="83"/>
      <x:c r="G177" s="77"/>
      <x:c r="H177" s="77"/>
      <x:c r="I177" s="83"/>
      <x:c r="J177" s="80"/>
      <x:c r="K177" s="77"/>
    </x:row>
    <x:row r="178">
      <x:c r="A178" s="77"/>
      <x:c r="B178" s="77"/>
      <x:c r="C178" s="77"/>
      <x:c r="D178" s="77"/>
      <x:c r="E178" s="77"/>
      <x:c r="F178" s="83"/>
      <x:c r="G178" s="77"/>
      <x:c r="H178" s="77"/>
      <x:c r="I178" s="83"/>
      <x:c r="J178" s="80"/>
      <x:c r="K178" s="77"/>
    </x:row>
    <x:row r="179">
      <x:c r="A179" s="77"/>
      <x:c r="B179" s="77"/>
      <x:c r="C179" s="77"/>
      <x:c r="D179" s="77"/>
      <x:c r="E179" s="77"/>
      <x:c r="F179" s="83"/>
      <x:c r="G179" s="77"/>
      <x:c r="H179" s="77"/>
      <x:c r="I179" s="83"/>
      <x:c r="J179" s="80"/>
      <x:c r="K179" s="77"/>
    </x:row>
    <x:row r="180">
      <x:c r="A180" s="77"/>
      <x:c r="B180" s="77"/>
      <x:c r="C180" s="77"/>
      <x:c r="D180" s="77"/>
      <x:c r="E180" s="77"/>
      <x:c r="F180" s="83"/>
      <x:c r="G180" s="77"/>
      <x:c r="H180" s="77"/>
      <x:c r="I180" s="83"/>
      <x:c r="J180" s="80"/>
      <x:c r="K180" s="77"/>
    </x:row>
    <x:row r="181">
      <x:c r="A181" s="77"/>
      <x:c r="B181" s="77"/>
      <x:c r="C181" s="77"/>
      <x:c r="D181" s="77"/>
      <x:c r="E181" s="77"/>
      <x:c r="F181" s="83"/>
      <x:c r="G181" s="77"/>
      <x:c r="H181" s="77"/>
      <x:c r="I181" s="83"/>
      <x:c r="J181" s="80"/>
      <x:c r="K181" s="77"/>
    </x:row>
    <x:row r="182">
      <x:c r="A182" s="77"/>
      <x:c r="B182" s="77"/>
      <x:c r="C182" s="77"/>
      <x:c r="D182" s="77"/>
      <x:c r="E182" s="77"/>
      <x:c r="F182" s="83"/>
      <x:c r="G182" s="77"/>
      <x:c r="H182" s="77"/>
      <x:c r="I182" s="83"/>
      <x:c r="J182" s="80"/>
      <x:c r="K182" s="77"/>
    </x:row>
    <x:row r="183">
      <x:c r="A183" s="77"/>
      <x:c r="B183" s="77"/>
      <x:c r="C183" s="77"/>
      <x:c r="D183" s="77"/>
      <x:c r="E183" s="77"/>
      <x:c r="F183" s="83"/>
      <x:c r="G183" s="77"/>
      <x:c r="H183" s="77"/>
      <x:c r="I183" s="83"/>
      <x:c r="J183" s="80"/>
      <x:c r="K183" s="77"/>
    </x:row>
    <x:row r="184">
      <x:c r="A184" s="77"/>
      <x:c r="B184" s="77"/>
      <x:c r="C184" s="77"/>
      <x:c r="D184" s="77"/>
      <x:c r="E184" s="77"/>
      <x:c r="F184" s="83"/>
      <x:c r="G184" s="77"/>
      <x:c r="H184" s="77"/>
      <x:c r="I184" s="83"/>
      <x:c r="J184" s="80"/>
      <x:c r="K184" s="77"/>
    </x:row>
    <x:row r="185">
      <x:c r="A185" s="77"/>
      <x:c r="B185" s="77"/>
      <x:c r="C185" s="77"/>
      <x:c r="D185" s="77"/>
      <x:c r="E185" s="77"/>
      <x:c r="F185" s="83"/>
      <x:c r="G185" s="77"/>
      <x:c r="H185" s="77"/>
      <x:c r="I185" s="83"/>
      <x:c r="J185" s="80"/>
      <x:c r="K185" s="77"/>
    </x:row>
    <x:row r="186">
      <x:c r="A186" s="77"/>
      <x:c r="B186" s="77"/>
      <x:c r="C186" s="77"/>
      <x:c r="D186" s="77"/>
      <x:c r="E186" s="77"/>
      <x:c r="F186" s="83"/>
      <x:c r="G186" s="77"/>
      <x:c r="H186" s="77"/>
      <x:c r="I186" s="83"/>
      <x:c r="J186" s="80"/>
      <x:c r="K186" s="77"/>
    </x:row>
    <x:row r="187">
      <x:c r="A187" s="77"/>
      <x:c r="B187" s="77"/>
      <x:c r="C187" s="77"/>
      <x:c r="D187" s="77"/>
      <x:c r="E187" s="77"/>
      <x:c r="F187" s="83"/>
      <x:c r="G187" s="77"/>
      <x:c r="H187" s="77"/>
      <x:c r="I187" s="83"/>
      <x:c r="J187" s="80"/>
      <x:c r="K187" s="77"/>
    </x:row>
    <x:row r="188">
      <x:c r="A188" s="77"/>
      <x:c r="B188" s="77"/>
      <x:c r="C188" s="77"/>
      <x:c r="D188" s="77"/>
      <x:c r="E188" s="77"/>
      <x:c r="F188" s="83"/>
      <x:c r="G188" s="77"/>
      <x:c r="H188" s="77"/>
      <x:c r="I188" s="83"/>
      <x:c r="J188" s="80"/>
      <x:c r="K188" s="77"/>
    </x:row>
    <x:row r="189">
      <x:c r="A189" s="77"/>
      <x:c r="B189" s="77"/>
      <x:c r="C189" s="77"/>
      <x:c r="D189" s="77"/>
      <x:c r="E189" s="77"/>
      <x:c r="F189" s="83"/>
      <x:c r="G189" s="77"/>
      <x:c r="H189" s="77"/>
      <x:c r="I189" s="83"/>
      <x:c r="J189" s="80"/>
      <x:c r="K189" s="77"/>
    </x:row>
    <x:row r="190">
      <x:c r="A190" s="77"/>
      <x:c r="B190" s="77"/>
      <x:c r="C190" s="77"/>
      <x:c r="D190" s="77"/>
      <x:c r="E190" s="77"/>
      <x:c r="F190" s="83"/>
      <x:c r="G190" s="77"/>
      <x:c r="H190" s="77"/>
      <x:c r="I190" s="83"/>
      <x:c r="J190" s="80"/>
      <x:c r="K190" s="77"/>
    </x:row>
    <x:row r="191">
      <x:c r="A191" s="77"/>
      <x:c r="B191" s="77"/>
      <x:c r="C191" s="77"/>
      <x:c r="D191" s="77"/>
      <x:c r="E191" s="77"/>
      <x:c r="F191" s="83"/>
      <x:c r="G191" s="77"/>
      <x:c r="H191" s="77"/>
      <x:c r="I191" s="83"/>
      <x:c r="J191" s="80"/>
      <x:c r="K191" s="77"/>
    </x:row>
    <x:row r="192">
      <x:c r="A192" s="77"/>
      <x:c r="B192" s="77"/>
      <x:c r="C192" s="77"/>
      <x:c r="D192" s="77"/>
      <x:c r="E192" s="77"/>
      <x:c r="F192" s="83"/>
      <x:c r="G192" s="77"/>
      <x:c r="H192" s="77"/>
      <x:c r="I192" s="83"/>
      <x:c r="J192" s="80"/>
      <x:c r="K192" s="77"/>
    </x:row>
    <x:row r="193">
      <x:c r="A193" s="77"/>
      <x:c r="B193" s="77"/>
      <x:c r="C193" s="77"/>
      <x:c r="D193" s="77"/>
      <x:c r="E193" s="77"/>
      <x:c r="F193" s="83"/>
      <x:c r="G193" s="77"/>
      <x:c r="H193" s="77"/>
      <x:c r="I193" s="83"/>
      <x:c r="J193" s="80"/>
      <x:c r="K193" s="77"/>
    </x:row>
    <x:row r="194">
      <x:c r="A194" s="77"/>
      <x:c r="B194" s="77"/>
      <x:c r="C194" s="77"/>
      <x:c r="D194" s="77"/>
      <x:c r="E194" s="77"/>
      <x:c r="F194" s="83"/>
      <x:c r="G194" s="77"/>
      <x:c r="H194" s="77"/>
      <x:c r="I194" s="83"/>
      <x:c r="J194" s="80"/>
      <x:c r="K194" s="77"/>
    </x:row>
    <x:row r="195">
      <x:c r="A195" s="77"/>
      <x:c r="B195" s="77"/>
      <x:c r="C195" s="77"/>
      <x:c r="D195" s="77"/>
      <x:c r="E195" s="77"/>
      <x:c r="F195" s="83"/>
      <x:c r="G195" s="77"/>
      <x:c r="H195" s="77"/>
      <x:c r="I195" s="83"/>
      <x:c r="J195" s="80"/>
      <x:c r="K195" s="77"/>
    </x:row>
    <x:row r="196">
      <x:c r="A196" s="77"/>
      <x:c r="B196" s="77"/>
      <x:c r="C196" s="77"/>
      <x:c r="D196" s="77"/>
      <x:c r="E196" s="77"/>
      <x:c r="F196" s="83"/>
      <x:c r="G196" s="77"/>
      <x:c r="H196" s="77"/>
      <x:c r="I196" s="83"/>
      <x:c r="J196" s="80"/>
      <x:c r="K196" s="77"/>
    </x:row>
    <x:row r="197">
      <x:c r="A197" s="77"/>
      <x:c r="B197" s="77"/>
      <x:c r="C197" s="77"/>
      <x:c r="D197" s="77"/>
      <x:c r="E197" s="77"/>
      <x:c r="F197" s="83"/>
      <x:c r="G197" s="77"/>
      <x:c r="H197" s="77"/>
      <x:c r="I197" s="83"/>
      <x:c r="J197" s="80"/>
      <x:c r="K197" s="77"/>
    </x:row>
    <x:row r="198">
      <x:c r="A198" s="77"/>
      <x:c r="B198" s="77"/>
      <x:c r="C198" s="77"/>
      <x:c r="D198" s="77"/>
      <x:c r="E198" s="77"/>
      <x:c r="F198" s="83"/>
      <x:c r="G198" s="77"/>
      <x:c r="H198" s="77"/>
      <x:c r="I198" s="83"/>
      <x:c r="J198" s="80"/>
      <x:c r="K198" s="77"/>
    </x:row>
    <x:row r="199">
      <x:c r="A199" s="77"/>
      <x:c r="B199" s="77"/>
      <x:c r="C199" s="77"/>
      <x:c r="D199" s="77"/>
      <x:c r="E199" s="77"/>
      <x:c r="F199" s="83"/>
      <x:c r="G199" s="77"/>
      <x:c r="H199" s="77"/>
      <x:c r="I199" s="83"/>
      <x:c r="J199" s="80"/>
      <x:c r="K199" s="77"/>
    </x:row>
    <x:row r="200">
      <x:c r="A200" s="77"/>
      <x:c r="B200" s="77"/>
      <x:c r="C200" s="77"/>
      <x:c r="D200" s="77"/>
      <x:c r="E200" s="77"/>
      <x:c r="F200" s="83"/>
      <x:c r="G200" s="77"/>
      <x:c r="H200" s="77"/>
      <x:c r="I200" s="83"/>
      <x:c r="J200" s="80"/>
      <x:c r="K200" s="77"/>
    </x:row>
    <x:row r="201">
      <x:c r="A201" s="77"/>
      <x:c r="B201" s="77"/>
      <x:c r="C201" s="77"/>
      <x:c r="D201" s="77"/>
      <x:c r="E201" s="77"/>
      <x:c r="F201" s="83"/>
      <x:c r="G201" s="77"/>
      <x:c r="H201" s="77"/>
      <x:c r="I201" s="83"/>
      <x:c r="J201" s="80"/>
      <x:c r="K201" s="77"/>
    </x:row>
    <x:row r="202">
      <x:c r="A202" s="77"/>
      <x:c r="B202" s="77"/>
      <x:c r="C202" s="77"/>
      <x:c r="D202" s="77"/>
      <x:c r="E202" s="77"/>
      <x:c r="F202" s="83"/>
      <x:c r="G202" s="77"/>
      <x:c r="H202" s="77"/>
      <x:c r="I202" s="83"/>
      <x:c r="J202" s="80"/>
      <x:c r="K202" s="77"/>
    </x:row>
    <x:row r="203">
      <x:c r="A203" s="77"/>
      <x:c r="B203" s="77"/>
      <x:c r="C203" s="77"/>
      <x:c r="D203" s="77"/>
      <x:c r="E203" s="77"/>
      <x:c r="F203" s="83"/>
      <x:c r="G203" s="77"/>
      <x:c r="H203" s="77"/>
      <x:c r="I203" s="83"/>
      <x:c r="J203" s="80"/>
      <x:c r="K203" s="77"/>
    </x:row>
  </x:sheetData>
  <x:mergeCells>
    <x:mergeCell ref="A1:K1"/>
  </x:mergeCells>
  <x:conditionalFormatting sqref="G4:G203">
    <x:cfRule type="expression" dxfId="4" priority="1">
      <x:formula>G4="Ativo"</x:formula>
    </x:cfRule>
    <x:cfRule type="expression" dxfId="5" priority="2">
      <x:formula>G4="Sem retorno"</x:formula>
    </x:cfRule>
  </x:conditionalFormatting>
  <x:dataValidations count="2">
    <x:dataValidation type="list" sqref="B4:B203">
      <x:formula1>Config!$D$16:$D$22</x:formula1>
    </x:dataValidation>
    <x:dataValidation type="list" sqref="G4:G203">
      <x:formula1>Config!$E$16:$E$23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4834e69efd48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46" hidden="0" customWidth="1"/>
    <x:col min="5" max="5" width="16" hidden="0" customWidth="1"/>
    <x:col min="6" max="6" width="36" hidden="0" customWidth="1"/>
  </x:cols>
  <x:sheetData>
    <x:row r="1" ht="28" customHeight="1">
      <x:c r="A1" s="155" t="str">
        <x:v>SOCORRO! O CUCA RESOLVE | Plano de 90 dias</x:v>
      </x:c>
      <x:c r="B1" s="155"/>
      <x:c r="C1" s="155"/>
      <x:c r="D1" s="155"/>
      <x:c r="E1" s="155"/>
      <x:c r="F1" s="155"/>
    </x:row>
    <x:row r="2" ht="5" customHeight="1">
      <x:c r="A2" s="158"/>
      <x:c r="B2" s="158"/>
      <x:c r="C2" s="158"/>
      <x:c r="D2" s="158"/>
      <x:c r="E2" s="158"/>
      <x:c r="F2" s="158"/>
    </x:row>
    <x:row r="3" ht="24" customHeight="1">
      <x:c r="A3" s="159" t="str">
        <x:v>Fase</x:v>
      </x:c>
      <x:c r="B3" s="159" t="str">
        <x:v>Período</x:v>
      </x:c>
      <x:c r="C3" s="159" t="str">
        <x:v>Prioridade</x:v>
      </x:c>
      <x:c r="D3" s="159" t="str">
        <x:v>Entrega</x:v>
      </x:c>
      <x:c r="E3" s="159" t="str">
        <x:v>Status</x:v>
      </x:c>
      <x:c r="F3" s="159" t="str">
        <x:v>Observação</x:v>
      </x:c>
    </x:row>
    <x:row r="4">
      <x:c r="A4" s="77" t="str">
        <x:v>Fundação</x:v>
      </x:c>
      <x:c r="B4" s="77" t="str">
        <x:v>Dias 1-7</x:v>
      </x:c>
      <x:c r="C4" s="77" t="str">
        <x:v>Alta</x:v>
      </x:c>
      <x:c r="D4" s="77" t="str">
        <x:v>Validar lista FAÇO / AVALIO / NÃO FAÇO</x:v>
      </x:c>
      <x:c r="E4" s="77" t="str">
        <x:v>A fazer</x:v>
      </x:c>
      <x:c r="F4" s="77" t="str"/>
    </x:row>
    <x:row r="5">
      <x:c r="A5" s="77" t="str">
        <x:v>Fundação</x:v>
      </x:c>
      <x:c r="B5" s="77" t="str">
        <x:v>Dias 1-7</x:v>
      </x:c>
      <x:c r="C5" s="77" t="str">
        <x:v>Alta</x:v>
      </x:c>
      <x:c r="D5" s="77" t="str">
        <x:v>Configurar WhatsApp Business e catálogo</x:v>
      </x:c>
      <x:c r="E5" s="77" t="str">
        <x:v>A fazer</x:v>
      </x:c>
      <x:c r="F5" s="77" t="str"/>
    </x:row>
    <x:row r="6">
      <x:c r="A6" s="77" t="str">
        <x:v>Fundação</x:v>
      </x:c>
      <x:c r="B6" s="77" t="str">
        <x:v>Dias 1-7</x:v>
      </x:c>
      <x:c r="C6" s="77" t="str">
        <x:v>Alta</x:v>
      </x:c>
      <x:c r="D6" s="77" t="str">
        <x:v>Revisar Perfil da Empresa no Google</x:v>
      </x:c>
      <x:c r="E6" s="77" t="str">
        <x:v>A fazer</x:v>
      </x:c>
      <x:c r="F6" s="77" t="str"/>
    </x:row>
    <x:row r="7">
      <x:c r="A7" s="77" t="str">
        <x:v>Fundação</x:v>
      </x:c>
      <x:c r="B7" s="77" t="str">
        <x:v>Dias 1-7</x:v>
      </x:c>
      <x:c r="C7" s="77" t="str">
        <x:v>Alta</x:v>
      </x:c>
      <x:c r="D7" s="77" t="str">
        <x:v>Confirmar preços-base e política de visita</x:v>
      </x:c>
      <x:c r="E7" s="77" t="str">
        <x:v>A fazer</x:v>
      </x:c>
      <x:c r="F7" s="77" t="str"/>
    </x:row>
    <x:row r="8">
      <x:c r="A8" s="77" t="str">
        <x:v>Presença</x:v>
      </x:c>
      <x:c r="B8" s="77" t="str">
        <x:v>Dias 8-14</x:v>
      </x:c>
      <x:c r="C8" s="77" t="str">
        <x:v>Alta</x:v>
      </x:c>
      <x:c r="D8" s="77" t="str">
        <x:v>Publicar apresentação e organizar fotos reais</x:v>
      </x:c>
      <x:c r="E8" s="77" t="str">
        <x:v>A fazer</x:v>
      </x:c>
      <x:c r="F8" s="77" t="str"/>
    </x:row>
    <x:row r="9">
      <x:c r="A9" s="77" t="str">
        <x:v>Presença</x:v>
      </x:c>
      <x:c r="B9" s="77" t="str">
        <x:v>Dias 8-14</x:v>
      </x:c>
      <x:c r="C9" s="77" t="str">
        <x:v>Alta</x:v>
      </x:c>
      <x:c r="D9" s="77" t="str">
        <x:v>Iniciar pedido sistemático de avaliações</x:v>
      </x:c>
      <x:c r="E9" s="77" t="str">
        <x:v>A fazer</x:v>
      </x:c>
      <x:c r="F9" s="77" t="str">
        <x:v>Meta: 20 avaliações em 60 dias</x:v>
      </x:c>
    </x:row>
    <x:row r="10">
      <x:c r="A10" s="77" t="str">
        <x:v>Presença</x:v>
      </x:c>
      <x:c r="B10" s="77" t="str">
        <x:v>Dias 8-14</x:v>
      </x:c>
      <x:c r="C10" s="77" t="str">
        <x:v>Média</x:v>
      </x:c>
      <x:c r="D10" s="77" t="str">
        <x:v>Distribuir cartão digital e QR</x:v>
      </x:c>
      <x:c r="E10" s="77" t="str">
        <x:v>A fazer</x:v>
      </x:c>
      <x:c r="F10" s="77" t="str"/>
    </x:row>
    <x:row r="11">
      <x:c r="A11" s="77" t="str">
        <x:v>Aquisição</x:v>
      </x:c>
      <x:c r="B11" s="77" t="str">
        <x:v>Dias 15-21</x:v>
      </x:c>
      <x:c r="C11" s="77" t="str">
        <x:v>Alta</x:v>
      </x:c>
      <x:c r="D11" s="77" t="str">
        <x:v>Abordar imobiliárias, pousadas e Airbnb</x:v>
      </x:c>
      <x:c r="E11" s="77" t="str">
        <x:v>A fazer</x:v>
      </x:c>
      <x:c r="F11" s="77" t="str"/>
    </x:row>
    <x:row r="12">
      <x:c r="A12" s="77" t="str">
        <x:v>Aquisição</x:v>
      </x:c>
      <x:c r="B12" s="77" t="str">
        <x:v>Dias 15-21</x:v>
      </x:c>
      <x:c r="C12" s="77" t="str">
        <x:v>Média</x:v>
      </x:c>
      <x:c r="D12" s="77" t="str">
        <x:v>Participar de grupos locais sem spam</x:v>
      </x:c>
      <x:c r="E12" s="77" t="str">
        <x:v>A fazer</x:v>
      </x:c>
      <x:c r="F12" s="77" t="str"/>
    </x:row>
    <x:row r="13">
      <x:c r="A13" s="77" t="str">
        <x:v>Otimização</x:v>
      </x:c>
      <x:c r="B13" s="77" t="str">
        <x:v>Dias 22-30</x:v>
      </x:c>
      <x:c r="C13" s="77" t="str">
        <x:v>Alta</x:v>
      </x:c>
      <x:c r="D13" s="77" t="str">
        <x:v>Revisar leads, conversão, ticket e origens</x:v>
      </x:c>
      <x:c r="E13" s="77" t="str">
        <x:v>A fazer</x:v>
      </x:c>
      <x:c r="F13" s="77" t="str"/>
    </x:row>
    <x:row r="14">
      <x:c r="A14" s="77" t="str">
        <x:v>Validação</x:v>
      </x:c>
      <x:c r="B14" s="77" t="str">
        <x:v>Dias 31-60</x:v>
      </x:c>
      <x:c r="C14" s="77" t="str">
        <x:v>Alta</x:v>
      </x:c>
      <x:c r="D14" s="77" t="str">
        <x:v>Identificar 3 serviços com melhor margem e demanda</x:v>
      </x:c>
      <x:c r="E14" s="77" t="str">
        <x:v>A fazer</x:v>
      </x:c>
      <x:c r="F14" s="77" t="str"/>
    </x:row>
    <x:row r="15">
      <x:c r="A15" s="77" t="str">
        <x:v>Validação</x:v>
      </x:c>
      <x:c r="B15" s="77" t="str">
        <x:v>Dias 31-60</x:v>
      </x:c>
      <x:c r="C15" s="77" t="str">
        <x:v>Alta</x:v>
      </x:c>
      <x:c r="D15" s="77" t="str">
        <x:v>Construir base de clientes recorrentes</x:v>
      </x:c>
      <x:c r="E15" s="77" t="str">
        <x:v>A fazer</x:v>
      </x:c>
      <x:c r="F15" s="77" t="str"/>
    </x:row>
    <x:row r="16">
      <x:c r="A16" s="77" t="str">
        <x:v>Validação</x:v>
      </x:c>
      <x:c r="B16" s="77" t="str">
        <x:v>Dias 31-60</x:v>
      </x:c>
      <x:c r="C16" s="77" t="str">
        <x:v>Média</x:v>
      </x:c>
      <x:c r="D16" s="77" t="str">
        <x:v>Ter fotos reais de 4 famílias de serviço</x:v>
      </x:c>
      <x:c r="E16" s="77" t="str">
        <x:v>A fazer</x:v>
      </x:c>
      <x:c r="F16" s="77" t="str"/>
    </x:row>
    <x:row r="17">
      <x:c r="A17" s="77" t="str">
        <x:v>Escala</x:v>
      </x:c>
      <x:c r="B17" s="77" t="str">
        <x:v>Dias 61-90</x:v>
      </x:c>
      <x:c r="C17" s="77" t="str">
        <x:v>Alta</x:v>
      </x:c>
      <x:c r="D17" s="77" t="str">
        <x:v>Recalibrar precificação com tempo e margem reais</x:v>
      </x:c>
      <x:c r="E17" s="77" t="str">
        <x:v>A fazer</x:v>
      </x:c>
      <x:c r="F17" s="77" t="str"/>
    </x:row>
    <x:row r="18">
      <x:c r="A18" s="77" t="str">
        <x:v>Escala</x:v>
      </x:c>
      <x:c r="B18" s="77" t="str">
        <x:v>Dias 61-90</x:v>
      </x:c>
      <x:c r="C18" s="77" t="str">
        <x:v>Média</x:v>
      </x:c>
      <x:c r="D18" s="77" t="str">
        <x:v>Avaliar tráfego pago com Google/WhatsApp estruturados</x:v>
      </x:c>
      <x:c r="E18" s="77" t="str">
        <x:v>A fazer</x:v>
      </x:c>
      <x:c r="F18" s="77" t="str"/>
    </x:row>
    <x:row r="19">
      <x:c r="A19" s="77" t="str">
        <x:v>Escala</x:v>
      </x:c>
      <x:c r="B19" s="77" t="str">
        <x:v>Dias 61-90</x:v>
      </x:c>
      <x:c r="C19" s="77" t="str">
        <x:v>Média</x:v>
      </x:c>
      <x:c r="D19" s="77" t="str">
        <x:v>Testar proposta recorrente para clientes B2B</x:v>
      </x:c>
      <x:c r="E19" s="77" t="str">
        <x:v>A fazer</x:v>
      </x:c>
      <x:c r="F19" s="77" t="str"/>
    </x:row>
  </x:sheetData>
  <x:mergeCells>
    <x:mergeCell ref="A1:F1"/>
  </x:mergeCells>
  <x:conditionalFormatting sqref="E4:E19">
    <x:cfRule type="expression" dxfId="6" priority="1">
      <x:formula>E4="Concluído"</x:formula>
    </x:cfRule>
    <x:cfRule type="expression" dxfId="7" priority="2">
      <x:formula>E4="Bloqueado"</x:formula>
    </x:cfRule>
  </x:conditionalFormatting>
  <x:conditionalFormatting sqref="E4:E200">
    <x:cfRule type="expression" dxfId="11" priority="3">
      <x:formula>E4="Concluído"</x:formula>
    </x:cfRule>
    <x:cfRule type="expression" dxfId="12" priority="4">
      <x:formula>E4="Bloqueado"</x:formula>
    </x:cfRule>
    <x:cfRule type="expression" dxfId="13" priority="5">
      <x:formula>E4="Em andamento"</x:formula>
    </x:cfRule>
  </x:conditionalFormatting>
  <x:dataValidations count="1">
    <x:dataValidation type="list" sqref="E4:E19">
      <x:formula1>"A fazer,Em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f05bba574c471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18" hidden="0" customWidth="1"/>
    <x:col min="8" max="8" width="3" hidden="0" customWidth="1"/>
    <x:col min="9" max="9" width="18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155" t="str">
        <x:v>SOCORRO! O CUCA RESOLVE | Dashboard do negócio</x:v>
      </x:c>
      <x:c r="B1" s="155"/>
      <x:c r="C1" s="155"/>
      <x:c r="D1" s="155"/>
      <x:c r="E1" s="155"/>
      <x:c r="F1" s="155"/>
      <x:c r="G1" s="155"/>
      <x:c r="H1" s="155"/>
      <x:c r="I1" s="93"/>
      <x:c r="J1" s="93"/>
      <x:c r="K1" s="93"/>
      <x:c r="L1" s="93"/>
      <x:c r="M1" s="93"/>
      <x:c r="N1" s="93"/>
    </x:row>
    <x:row r="2" ht="5" customHeight="1">
      <x:c r="A2" s="158"/>
      <x:c r="B2" s="158"/>
      <x:c r="C2" s="158"/>
      <x:c r="D2" s="158"/>
      <x:c r="E2" s="158"/>
      <x:c r="F2" s="158"/>
      <x:c r="G2" s="158"/>
      <x:c r="H2" s="158"/>
      <x:c r="I2" s="93"/>
      <x:c r="J2" s="93"/>
      <x:c r="K2" s="93"/>
      <x:c r="L2" s="93"/>
      <x:c r="M2" s="93"/>
      <x:c r="N2" s="93"/>
    </x:row>
    <x:row r="3">
      <x:c r="A3" s="164" t="str">
        <x:v>LEADS</x:v>
      </x:c>
      <x:c r="B3" s="164" t="str"/>
      <x:c r="C3" s="164" t="str">
        <x:v>ORÇAMENTOS</x:v>
      </x:c>
      <x:c r="D3" s="164" t="str"/>
      <x:c r="E3" s="164" t="str">
        <x:v>CONCLUÍDOS</x:v>
      </x:c>
      <x:c r="F3" s="164" t="str"/>
      <x:c r="G3" s="164" t="str">
        <x:v>CONVERSÃO</x:v>
      </x:c>
      <x:c r="H3" s="164" t="str"/>
      <x:c r="I3" s="93"/>
      <x:c r="J3" s="93"/>
      <x:c r="K3" s="93"/>
      <x:c r="L3" s="93"/>
      <x:c r="M3" s="93"/>
      <x:c r="N3" s="93"/>
    </x:row>
    <x:row r="4">
      <x:c r="A4" s="97" t="n">
        <x:f>COUNT(CRM_Leads!A4:A303)</x:f>
        <x:v>0</x:v>
      </x:c>
      <x:c r="B4" s="93"/>
      <x:c r="C4" s="97" t="n">
        <x:f>COUNT(CRM_Leads!J4:J303)</x:f>
        <x:v>0</x:v>
      </x:c>
      <x:c r="D4" s="93"/>
      <x:c r="E4" s="97" t="n">
        <x:f>COUNTIF(CRM_Leads!K4:K303,"Concluído")</x:f>
        <x:v>0</x:v>
      </x:c>
      <x:c r="F4" s="93"/>
      <x:c r="G4" s="98" t="n">
        <x:f>IFERROR(E4/C4,0)</x:f>
        <x:v>0</x:v>
      </x:c>
      <x:c r="H4" s="93"/>
      <x:c r="I4" s="93"/>
      <x:c r="J4" s="93"/>
      <x:c r="K4" s="93"/>
      <x:c r="L4" s="93"/>
      <x:c r="M4" s="93"/>
      <x:c r="N4" s="93"/>
    </x:row>
    <x:row r="5">
      <x:c r="A5" s="93"/>
      <x:c r="B5" s="93"/>
      <x:c r="C5" s="93"/>
      <x:c r="D5" s="93"/>
      <x:c r="E5" s="93"/>
      <x:c r="F5" s="93"/>
      <x:c r="G5" s="93"/>
      <x:c r="H5" s="93"/>
      <x:c r="I5" s="93"/>
      <x:c r="J5" s="93"/>
      <x:c r="K5" s="93"/>
      <x:c r="L5" s="93"/>
      <x:c r="M5" s="93"/>
      <x:c r="N5" s="93"/>
    </x:row>
    <x:row r="6">
      <x:c r="A6" s="165" t="str">
        <x:v>FATURAMENTO</x:v>
      </x:c>
      <x:c r="B6" s="165" t="str"/>
      <x:c r="C6" s="165" t="str">
        <x:v>TICKET MÉDIO</x:v>
      </x:c>
      <x:c r="D6" s="165" t="str"/>
      <x:c r="E6" s="165" t="str">
        <x:v>LUCRO BRUTO</x:v>
      </x:c>
      <x:c r="F6" s="165" t="str"/>
      <x:c r="G6" s="165" t="str">
        <x:v>AVALIAÇÕES</x:v>
      </x:c>
      <x:c r="H6" s="165" t="str"/>
      <x:c r="I6" s="93"/>
      <x:c r="J6" s="93"/>
      <x:c r="K6" s="93"/>
      <x:c r="L6" s="93"/>
      <x:c r="M6" s="93"/>
      <x:c r="N6" s="93"/>
    </x:row>
    <x:row r="7">
      <x:c r="A7" s="100" t="n">
        <x:f>SUM(Atendimentos!H4:H303)</x:f>
        <x:v>0</x:v>
      </x:c>
      <x:c r="B7" s="93"/>
      <x:c r="C7" s="100" t="n">
        <x:f>IFERROR(A7/E4,0)</x:f>
        <x:v>0</x:v>
      </x:c>
      <x:c r="D7" s="93"/>
      <x:c r="E7" s="100" t="n">
        <x:f>SUM(Atendimentos!L4:L303)</x:f>
        <x:v>0</x:v>
      </x:c>
      <x:c r="F7" s="93"/>
      <x:c r="G7" s="97" t="n">
        <x:f>COUNTIF(CRM_Leads!O4:O303,"Sim")</x:f>
        <x:v>0</x:v>
      </x:c>
      <x:c r="H7" s="93"/>
      <x:c r="I7" s="93"/>
      <x:c r="J7" s="93"/>
      <x:c r="K7" s="93"/>
      <x:c r="L7" s="93"/>
      <x:c r="M7" s="93"/>
      <x:c r="N7" s="93"/>
    </x:row>
    <x:row r="8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</x:row>
    <x:row r="9">
      <x:c r="A9" s="93"/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</x:row>
    <x:row r="10" ht="24" customHeight="1">
      <x:c r="A10" s="159" t="str">
        <x:v>Origem do lead</x:v>
      </x:c>
      <x:c r="B10" s="159" t="str">
        <x:v>Qtd.</x:v>
      </x:c>
      <x:c r="C10" s="93"/>
      <x:c r="D10" s="159" t="str">
        <x:v>Categoria</x:v>
      </x:c>
      <x:c r="E10" s="159" t="str">
        <x:v>Faturamento</x:v>
      </x:c>
      <x:c r="F10" s="93"/>
      <x:c r="G10" s="93"/>
      <x:c r="H10" s="93"/>
      <x:c r="I10" s="93"/>
      <x:c r="J10" s="93"/>
      <x:c r="K10" s="93"/>
      <x:c r="L10" s="93"/>
      <x:c r="M10" s="93"/>
      <x:c r="N10" s="93"/>
    </x:row>
    <x:row r="11">
      <x:c r="A11" s="93" t="str">
        <x:v>Google</x:v>
      </x:c>
      <x:c r="B11" s="93" t="n">
        <x:f>COUNTIF(CRM_Leads!E4:E303,A11)</x:f>
        <x:v>0</x:v>
      </x:c>
      <x:c r="C11" s="93"/>
      <x:c r="D11" s="93" t="str">
        <x:v>Casa</x:v>
      </x:c>
      <x:c r="E11" s="101" t="n">
        <x:f>SUMIF(Atendimentos!C4:C303,D11,Atendimentos!H4:H303)</x:f>
        <x:v>0</x:v>
      </x:c>
      <x:c r="F11" s="93"/>
      <x:c r="G11" s="93"/>
      <x:c r="H11" s="93"/>
      <x:c r="I11" s="93"/>
      <x:c r="J11" s="93"/>
      <x:c r="K11" s="93"/>
      <x:c r="L11" s="93"/>
      <x:c r="M11" s="93"/>
      <x:c r="N11" s="93"/>
    </x:row>
    <x:row r="12">
      <x:c r="A12" s="93" t="str">
        <x:v>Indicação</x:v>
      </x:c>
      <x:c r="B12" s="93" t="n">
        <x:f>COUNTIF(CRM_Leads!E4:E303,A12)</x:f>
        <x:v>0</x:v>
      </x:c>
      <x:c r="C12" s="93"/>
      <x:c r="D12" s="93" t="str">
        <x:v>Elétrica</x:v>
      </x:c>
      <x:c r="E12" s="101" t="n">
        <x:f>SUMIF(Atendimentos!C4:C303,D12,Atendimentos!H4:H303)</x:f>
        <x:v>0</x:v>
      </x:c>
      <x:c r="F12" s="93"/>
      <x:c r="G12" s="93"/>
      <x:c r="H12" s="93"/>
      <x:c r="I12" s="93"/>
      <x:c r="J12" s="93"/>
      <x:c r="K12" s="93"/>
      <x:c r="L12" s="93"/>
      <x:c r="M12" s="93"/>
      <x:c r="N12" s="93"/>
    </x:row>
    <x:row r="13">
      <x:c r="A13" s="93" t="str">
        <x:v>Instagram</x:v>
      </x:c>
      <x:c r="B13" s="93" t="n">
        <x:f>COUNTIF(CRM_Leads!E4:E303,A13)</x:f>
        <x:v>0</x:v>
      </x:c>
      <x:c r="C13" s="93"/>
      <x:c r="D13" s="93" t="str">
        <x:v>Hidráulica</x:v>
      </x:c>
      <x:c r="E13" s="101" t="n">
        <x:f>SUMIF(Atendimentos!C4:C303,D13,Atendimentos!H4:H303)</x:f>
        <x:v>0</x:v>
      </x:c>
      <x:c r="F13" s="93"/>
      <x:c r="G13" s="93"/>
      <x:c r="H13" s="93"/>
      <x:c r="I13" s="93"/>
      <x:c r="J13" s="93"/>
      <x:c r="K13" s="93"/>
      <x:c r="L13" s="93"/>
      <x:c r="M13" s="93"/>
      <x:c r="N13" s="93"/>
    </x:row>
    <x:row r="14">
      <x:c r="A14" s="93" t="str">
        <x:v>Facebook</x:v>
      </x:c>
      <x:c r="B14" s="93" t="n">
        <x:f>COUNTIF(CRM_Leads!E4:E303,A14)</x:f>
        <x:v>0</x:v>
      </x:c>
      <x:c r="C14" s="93"/>
      <x:c r="D14" s="93" t="str">
        <x:v>Eletrodomésticos</x:v>
      </x:c>
      <x:c r="E14" s="101" t="n">
        <x:f>SUMIF(Atendimentos!C4:C303,D14,Atendimentos!H4:H303)</x:f>
        <x:v>0</x:v>
      </x:c>
      <x:c r="F14" s="93"/>
      <x:c r="G14" s="93"/>
      <x:c r="H14" s="93"/>
      <x:c r="I14" s="93"/>
      <x:c r="J14" s="93"/>
      <x:c r="K14" s="93"/>
      <x:c r="L14" s="93"/>
      <x:c r="M14" s="93"/>
      <x:c r="N14" s="93"/>
    </x:row>
    <x:row r="15">
      <x:c r="A15" s="93" t="str">
        <x:v>WhatsApp</x:v>
      </x:c>
      <x:c r="B15" s="93" t="n">
        <x:f>COUNTIF(CRM_Leads!E4:E303,A15)</x:f>
        <x:v>0</x:v>
      </x:c>
      <x:c r="C15" s="93"/>
      <x:c r="D15" s="93" t="str">
        <x:v>Computadores</x:v>
      </x:c>
      <x:c r="E15" s="101" t="n">
        <x:f>SUMIF(Atendimentos!C4:C303,D15,Atendimentos!H4:H303)</x:f>
        <x:v>0</x:v>
      </x:c>
      <x:c r="F15" s="93"/>
      <x:c r="G15" s="93"/>
      <x:c r="H15" s="93"/>
      <x:c r="I15" s="93"/>
      <x:c r="J15" s="93"/>
      <x:c r="K15" s="93"/>
      <x:c r="L15" s="93"/>
      <x:c r="M15" s="93"/>
      <x:c r="N15" s="93"/>
    </x:row>
    <x:row r="16">
      <x:c r="A16" s="93" t="str">
        <x:v>Parceiro B2B</x:v>
      </x:c>
      <x:c r="B16" s="93" t="n">
        <x:f>COUNTIF(CRM_Leads!E4:E303,A16)</x:f>
        <x:v>0</x:v>
      </x:c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</x:row>
    <x:row r="17">
      <x:c r="A17" s="93" t="str">
        <x:v>Outro</x:v>
      </x:c>
      <x:c r="B17" s="93" t="n">
        <x:f>COUNTIF(CRM_Leads!E4:E303,A17)</x:f>
        <x:v>0</x:v>
      </x:c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</x:row>
    <x:row r="18">
      <x:c r="A18" s="93" t="str">
        <x:v>Retorno/recorrente</x:v>
      </x:c>
      <x:c r="B18" s="93" t="n">
        <x:f>COUNTIF(CRM_Leads!E4:E303,A18)</x:f>
        <x:v>0</x:v>
      </x:c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</x:row>
    <x:row r="20">
      <x:c r="A20" s="166" t="str">
        <x:v>LEITURA RÁPIDA</x:v>
      </x:c>
      <x:c r="B20" s="166"/>
      <x:c r="C20" s="166"/>
      <x:c r="D20" s="166"/>
      <x:c r="E20" s="166"/>
      <x:c r="F20" s="93"/>
      <x:c r="G20" s="93"/>
      <x:c r="H20" s="93"/>
      <x:c r="I20" s="93"/>
      <x:c r="J20" s="93"/>
      <x:c r="K20" s="93"/>
      <x:c r="L20" s="93"/>
      <x:c r="M20" s="93"/>
      <x:c r="N20" s="93"/>
    </x:row>
    <x:row r="21" ht="34" customHeight="1">
      <x:c r="A21" s="126" t="str">
        <x:v>Conversão</x:v>
      </x:c>
      <x:c r="B21" s="127" t="str">
        <x:v>Fechamentos ÷ orçamentos. Se cair, revise preço, confiança, velocidade de resposta e clareza da proposta.</x:v>
      </x:c>
      <x:c r="C21" s="127"/>
      <x:c r="D21" s="127"/>
      <x:c r="E21" s="127"/>
      <x:c r="F21" s="93"/>
      <x:c r="G21" s="93"/>
      <x:c r="H21" s="93"/>
      <x:c r="I21" s="93"/>
      <x:c r="J21" s="93"/>
      <x:c r="K21" s="93"/>
      <x:c r="L21" s="93"/>
      <x:c r="M21" s="93"/>
      <x:c r="N21" s="93"/>
    </x:row>
    <x:row r="22" ht="34" customHeight="1">
      <x:c r="A22" s="126" t="str">
        <x:v>Ticket médio</x:v>
      </x:c>
      <x:c r="B22" s="127" t="str">
        <x:v>Mostra quanto cada atendimento gera em média e ajuda a priorizar serviços e combos mais rentáveis.</x:v>
      </x:c>
      <x:c r="C22" s="127"/>
      <x:c r="D22" s="127"/>
      <x:c r="E22" s="127"/>
      <x:c r="F22" s="93"/>
      <x:c r="G22" s="93"/>
      <x:c r="H22" s="93"/>
      <x:c r="I22" s="93"/>
      <x:c r="J22" s="93"/>
      <x:c r="K22" s="93"/>
      <x:c r="L22" s="93"/>
      <x:c r="M22" s="93"/>
      <x:c r="N22" s="93"/>
    </x:row>
    <x:row r="23" ht="34" customHeight="1">
      <x:c r="A23" s="126" t="str">
        <x:v>Origem</x:v>
      </x:c>
      <x:c r="B23" s="127" t="str">
        <x:v>Mostra de onde vêm os clientes. Concentre esforço nos canais que realmente geram atendimento.</x:v>
      </x:c>
      <x:c r="C23" s="127"/>
      <x:c r="D23" s="127"/>
      <x:c r="E23" s="127"/>
      <x:c r="F23" s="93"/>
      <x:c r="G23" s="93"/>
      <x:c r="H23" s="93"/>
      <x:c r="I23" s="93"/>
      <x:c r="J23" s="93"/>
      <x:c r="K23" s="93"/>
      <x:c r="L23" s="93"/>
      <x:c r="M23" s="93"/>
      <x:c r="N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</x:row>
  </x:sheetData>
  <x:mergeCells>
    <x:mergeCell ref="A1:H1"/>
    <x:mergeCell ref="A20:E20"/>
    <x:mergeCell ref="B21:E21"/>
    <x:mergeCell ref="B22:E22"/>
    <x:mergeCell ref="B23:E23"/>
  </x:mergeCells>
  <x:pageMargins left="0.7" right="0.7" top="0.75" bottom="0.75" header="0.3" footer="0.3"/>
  <x:drawing xmlns:r="http://schemas.openxmlformats.org/officeDocument/2006/relationships" r:id="Ra835a8973444464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39" t="str">
        <x:v>SOCORRO! O CUCA RESOLVE | Identidade visual oficial</x:v>
      </x:c>
      <x:c r="B1" s="139"/>
      <x:c r="C1" s="139"/>
      <x:c r="D1" s="139"/>
      <x:c r="E1" s="139"/>
      <x:c r="F1" s="139"/>
      <x:c r="G1" s="139"/>
      <x:c r="H1" s="139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40" t="str">
        <x:v>Elemento</x:v>
      </x:c>
      <x:c r="B3" s="140" t="str">
        <x:v>Definição</x:v>
      </x:c>
      <x:c r="C3" s="31"/>
      <x:c r="D3" s="31"/>
      <x:c r="E3" s="31"/>
      <x:c r="F3" s="31"/>
      <x:c r="G3" s="31"/>
      <x:c r="H3" s="31"/>
    </x:row>
    <x:row r="4">
      <x:c r="A4" s="141" t="str">
        <x:v>Marca</x:v>
      </x:c>
      <x:c r="B4" s="31" t="str">
        <x:v>SOCORRO! O CUCA RESOLVE</x:v>
      </x:c>
      <x:c r="C4" s="31"/>
      <x:c r="D4" s="145" t="str">
        <x:v>AZUL-MARINHO</x:v>
      </x:c>
      <x:c r="E4" s="145"/>
      <x:c r="F4" s="145"/>
      <x:c r="G4" s="31"/>
      <x:c r="H4" s="31"/>
    </x:row>
    <x:row r="5">
      <x:c r="A5" s="141" t="str">
        <x:v>Descritor</x:v>
      </x:c>
      <x:c r="B5" s="31" t="str">
        <x:v>Manutenção Residencial e Assistência Técnica</x:v>
      </x:c>
      <x:c r="C5" s="31"/>
      <x:c r="D5" s="145"/>
      <x:c r="E5" s="145"/>
      <x:c r="F5" s="145"/>
      <x:c r="G5" s="31"/>
      <x:c r="H5" s="31"/>
    </x:row>
    <x:row r="6">
      <x:c r="A6" s="141" t="str">
        <x:v>Assinatura</x:v>
      </x:c>
      <x:c r="B6" s="31" t="str">
        <x:v>Da casa ao computador, o Cuca resolve.</x:v>
      </x:c>
      <x:c r="C6" s="31"/>
      <x:c r="D6" s="145"/>
      <x:c r="E6" s="145"/>
      <x:c r="F6" s="145"/>
      <x:c r="G6" s="31"/>
      <x:c r="H6" s="31"/>
    </x:row>
    <x:row r="7">
      <x:c r="A7" s="141" t="str">
        <x:v>CTA</x:v>
      </x:c>
      <x:c r="B7" s="31" t="str">
        <x:v>Problema apareceu? Chama o Cuca.</x:v>
      </x:c>
      <x:c r="C7" s="31"/>
      <x:c r="D7" s="31"/>
      <x:c r="E7" s="31"/>
      <x:c r="F7" s="31"/>
      <x:c r="G7" s="31"/>
      <x:c r="H7" s="31"/>
    </x:row>
    <x:row r="8">
      <x:c r="A8" s="141" t="str">
        <x:v>Azul-marinho</x:v>
      </x:c>
      <x:c r="B8" s="31" t="str">
        <x:v>#0A2E52</x:v>
      </x:c>
      <x:c r="C8" s="31"/>
      <x:c r="D8" s="149" t="str">
        <x:v>LARANJA</x:v>
      </x:c>
      <x:c r="E8" s="149"/>
      <x:c r="F8" s="149"/>
      <x:c r="G8" s="31"/>
      <x:c r="H8" s="31"/>
    </x:row>
    <x:row r="9">
      <x:c r="A9" s="141" t="str">
        <x:v>Laranja</x:v>
      </x:c>
      <x:c r="B9" s="31" t="str">
        <x:v>#FF7900</x:v>
      </x:c>
      <x:c r="C9" s="31"/>
      <x:c r="D9" s="149"/>
      <x:c r="E9" s="149"/>
      <x:c r="F9" s="149"/>
      <x:c r="G9" s="31"/>
      <x:c r="H9" s="31"/>
    </x:row>
    <x:row r="10">
      <x:c r="A10" s="141" t="str">
        <x:v>Símbolo</x:v>
      </x:c>
      <x:c r="B10" s="31" t="str">
        <x:v>Casinha + ferramenta + lâmpada</x:v>
      </x:c>
      <x:c r="C10" s="31"/>
      <x:c r="D10" s="149"/>
      <x:c r="E10" s="149"/>
      <x:c r="F10" s="149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</x:sheetData>
  <x:mergeCells>
    <x:mergeCell ref="A1:H1"/>
    <x:mergeCell ref="D4:F6"/>
    <x:mergeCell ref="D8:F10"/>
  </x:mergeCells>
  <x:pageMargins left="0.7" right="0.7" top="0.75" bottom="0.75" header="0.3" footer="0.3"/>
  <x:drawing xmlns:r="http://schemas.openxmlformats.org/officeDocument/2006/relationships" r:id="R16b1a66bad2249cc"/>
</x:worksheet>
</file>